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Sandeep_fastranking\Desktop\Ongoing\"/>
    </mc:Choice>
  </mc:AlternateContent>
  <bookViews>
    <workbookView xWindow="0" yWindow="0" windowWidth="38400" windowHeight="17730" tabRatio="500" activeTab="1"/>
  </bookViews>
  <sheets>
    <sheet name="Key Ach. " sheetId="12" r:id="rId1"/>
    <sheet name="New Projects_July" sheetId="9" r:id="rId2"/>
    <sheet name="AI Projects" sheetId="3" r:id="rId3"/>
    <sheet name="Sharooq &amp; AllenHouse" sheetId="8" r:id="rId4"/>
    <sheet name="Client Projects" sheetId="2" r:id="rId5"/>
    <sheet name="ProjectDash" sheetId="5" r:id="rId6"/>
    <sheet name="29th_June_Report_CP" sheetId="7" r:id="rId7"/>
    <sheet name="Sheet1" sheetId="4" state="hidden" r:id="rId8"/>
    <sheet name="Sheet2" sheetId="11" state="hidden" r:id="rId9"/>
    <sheet name="All Sales" sheetId="10" r:id="rId10"/>
  </sheets>
  <definedNames>
    <definedName name="_xlnm._FilterDatabase" localSheetId="4" hidden="1">'Client Projects'!$A$1:$K$68</definedName>
    <definedName name="_xlchart.0" hidden="1">'New Projects_July'!$H$3:$N$3</definedName>
    <definedName name="_xlchart.1" hidden="1">'New Projects_July'!$H$4:$N$4</definedName>
  </definedNames>
  <calcPr calcId="162913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</pivotCaches>
</workbook>
</file>

<file path=xl/calcChain.xml><?xml version="1.0" encoding="utf-8"?>
<calcChain xmlns="http://schemas.openxmlformats.org/spreadsheetml/2006/main">
  <c r="F6" i="9" l="1"/>
  <c r="D6" i="9"/>
  <c r="H32" i="2" l="1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31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2" i="2"/>
  <c r="F53" i="2"/>
  <c r="F54" i="2"/>
  <c r="F55" i="2"/>
  <c r="F56" i="2"/>
  <c r="F57" i="2"/>
  <c r="F32" i="2"/>
  <c r="F31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32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33" i="2"/>
  <c r="D32" i="2"/>
  <c r="D31" i="2"/>
  <c r="E31" i="2"/>
</calcChain>
</file>

<file path=xl/sharedStrings.xml><?xml version="1.0" encoding="utf-8"?>
<sst xmlns="http://schemas.openxmlformats.org/spreadsheetml/2006/main" count="5911" uniqueCount="1428">
  <si>
    <t>S.No.</t>
  </si>
  <si>
    <t>Project Name</t>
  </si>
  <si>
    <t>Customer</t>
  </si>
  <si>
    <t>Start Date</t>
  </si>
  <si>
    <t>Deadline</t>
  </si>
  <si>
    <t>Members</t>
  </si>
  <si>
    <t>Status</t>
  </si>
  <si>
    <t>Project Categories</t>
  </si>
  <si>
    <t>SEO - Briggs Safety Wear</t>
  </si>
  <si>
    <t>In Progress</t>
  </si>
  <si>
    <t>Briggs Safety Wear</t>
  </si>
  <si>
    <t>27-March-2026</t>
  </si>
  <si>
    <t>15-April-2026</t>
  </si>
  <si>
    <t>Wordpress</t>
  </si>
  <si>
    <t>LAYLA GORDON</t>
  </si>
  <si>
    <t>28-March-2026</t>
  </si>
  <si>
    <t>RBD Driving School</t>
  </si>
  <si>
    <t>02-April-2026</t>
  </si>
  <si>
    <t>Not Started</t>
  </si>
  <si>
    <t>Shopify</t>
  </si>
  <si>
    <t>4 Corners Cleaning Services Ltd</t>
  </si>
  <si>
    <t>24-February-2026</t>
  </si>
  <si>
    <t>ASAbhijeet Singh Software Tester</t>
  </si>
  <si>
    <t>OBIsonic Digital Photography</t>
  </si>
  <si>
    <t>12-February-2026</t>
  </si>
  <si>
    <t>Greyson Studios</t>
  </si>
  <si>
    <t>Mr. Matthew Elegbede</t>
  </si>
  <si>
    <t>10-March-2026</t>
  </si>
  <si>
    <t>Deepak Web Developer</t>
  </si>
  <si>
    <t>Sparta</t>
  </si>
  <si>
    <t>21-January-2026</t>
  </si>
  <si>
    <t>Inhouse</t>
  </si>
  <si>
    <t>30-April-2026</t>
  </si>
  <si>
    <t>Allen House - FRANCHISE LANDING PAGE PROJECT</t>
  </si>
  <si>
    <t>Allen House</t>
  </si>
  <si>
    <t>16-May-2026</t>
  </si>
  <si>
    <t>Custom</t>
  </si>
  <si>
    <t>JEWELLERY DESIGN CENTRE LIMITED</t>
  </si>
  <si>
    <t>16-April-2026</t>
  </si>
  <si>
    <t>20-May-2026</t>
  </si>
  <si>
    <t>30-May-2026</t>
  </si>
  <si>
    <t>NWT</t>
  </si>
  <si>
    <t>11-May-2026</t>
  </si>
  <si>
    <t>Jans Solutions Ltd</t>
  </si>
  <si>
    <t>Nomads Saige</t>
  </si>
  <si>
    <t>05-June-2026</t>
  </si>
  <si>
    <t>Silver Street London</t>
  </si>
  <si>
    <t>06-April-2026</t>
  </si>
  <si>
    <t>10-June-2026</t>
  </si>
  <si>
    <t>FH Furniture</t>
  </si>
  <si>
    <t>20-February-2026</t>
  </si>
  <si>
    <t>Surge Production</t>
  </si>
  <si>
    <t>15-June-2026</t>
  </si>
  <si>
    <t>Varsity Audio Visuals</t>
  </si>
  <si>
    <t>12-June-2026</t>
  </si>
  <si>
    <t>19-June-2026</t>
  </si>
  <si>
    <t>AWADAman Web Developer, Avinash Designer</t>
  </si>
  <si>
    <t>AMEN SHOES</t>
  </si>
  <si>
    <t>24-January-2026</t>
  </si>
  <si>
    <t>30-June-2026</t>
  </si>
  <si>
    <t>Allen Group - DPS</t>
  </si>
  <si>
    <t>30-March-2026</t>
  </si>
  <si>
    <t>01-March-2026</t>
  </si>
  <si>
    <t>22-July-2026</t>
  </si>
  <si>
    <t>Allen Group - Allenkids</t>
  </si>
  <si>
    <t>31-July-2026</t>
  </si>
  <si>
    <t>CATESBY ENGLAND</t>
  </si>
  <si>
    <t>31-July-2027</t>
  </si>
  <si>
    <t>Stabilus</t>
  </si>
  <si>
    <t>11-December-2025</t>
  </si>
  <si>
    <t>ASAWAbhijeet Singh Software Tester, Aman Web Developer</t>
  </si>
  <si>
    <t>13-March-2026</t>
  </si>
  <si>
    <t>16-February-2026</t>
  </si>
  <si>
    <t>Nomads Trade Website</t>
  </si>
  <si>
    <t>14-October-2025</t>
  </si>
  <si>
    <t>MARKETPLACE</t>
  </si>
  <si>
    <t>APS-CMS-MIGRATION</t>
  </si>
  <si>
    <t>UAT</t>
  </si>
  <si>
    <t>Finished</t>
  </si>
  <si>
    <t>FCL(firstclasslearning)</t>
  </si>
  <si>
    <t>Nomads Clothing</t>
  </si>
  <si>
    <t>NWNikhil  Web Developer</t>
  </si>
  <si>
    <t>Eagle Properties</t>
  </si>
  <si>
    <t>Comments</t>
  </si>
  <si>
    <t xml:space="preserve">Vipin, Avinash, Nikhil &amp; Abhijeet  </t>
  </si>
  <si>
    <t>Deepak , Abhijeet</t>
  </si>
  <si>
    <t>Abhijeet , Vani , Suraj , Raunik &amp; Nikhil</t>
  </si>
  <si>
    <t>On Hold</t>
  </si>
  <si>
    <t>Deployed Successfully, Taking followup from the client is everything is good at their side.</t>
  </si>
  <si>
    <t>In progress, team is working on homepage and once that is done team needs to test the same.</t>
  </si>
  <si>
    <t>Nikhil, Deepak &amp; Abhijeet</t>
  </si>
  <si>
    <t>DrivewithGreta</t>
  </si>
  <si>
    <t>Landing Page Creation</t>
  </si>
  <si>
    <t>Deepak</t>
  </si>
  <si>
    <t>Done</t>
  </si>
  <si>
    <t>ASDWAbhijeet Singh Software Tester, Deepak Web Developer</t>
  </si>
  <si>
    <t>No Response from Client</t>
  </si>
  <si>
    <t>DWDeepak Web Developer</t>
  </si>
  <si>
    <t>DWAWDeepak Web Developer, Aman Web Developer</t>
  </si>
  <si>
    <t>READING PROPERTIES GROUP LTD</t>
  </si>
  <si>
    <t>Reading Properties Group</t>
  </si>
  <si>
    <t>16-June-2026</t>
  </si>
  <si>
    <t>16-September-2026</t>
  </si>
  <si>
    <t>Actions</t>
  </si>
  <si>
    <t>Tags</t>
  </si>
  <si>
    <t>Demo Deployed, But no response from the client side</t>
  </si>
  <si>
    <t>Aman</t>
  </si>
  <si>
    <t xml:space="preserve">Aman </t>
  </si>
  <si>
    <t>Suraj, Raunik , Abhijeet &amp; Vani</t>
  </si>
  <si>
    <t>Sandeep , Avinash , Abhijeet, Deepak &amp; Aman</t>
  </si>
  <si>
    <t>Nikhil</t>
  </si>
  <si>
    <t>CLARITY COMPARE LIMITED</t>
  </si>
  <si>
    <t>Rashid driving school</t>
  </si>
  <si>
    <t>FOOTWEAR DEPOT - 1</t>
  </si>
  <si>
    <t>Best Value Auto</t>
  </si>
  <si>
    <t>CouloneStone</t>
  </si>
  <si>
    <t>Sustainable Packaging Supplies Ltd</t>
  </si>
  <si>
    <t>J2R safety</t>
  </si>
  <si>
    <t>EA Driving School</t>
  </si>
  <si>
    <t>RRJ Design</t>
  </si>
  <si>
    <t>Agid Van</t>
  </si>
  <si>
    <t>ACE LEARNING PLUS</t>
  </si>
  <si>
    <t>Boiler Gas Tech</t>
  </si>
  <si>
    <t>Julian Taxi</t>
  </si>
  <si>
    <t>Medical Device Software And Sterilization Professionals Ltd</t>
  </si>
  <si>
    <t>EduQuest TWT</t>
  </si>
  <si>
    <t>Auto Market Place</t>
  </si>
  <si>
    <t>CTC Pressings</t>
  </si>
  <si>
    <t>Dialogue Fosters</t>
  </si>
  <si>
    <t>Wood and Home 99 Location pages</t>
  </si>
  <si>
    <t>Veedux Production</t>
  </si>
  <si>
    <t>Eden's Edge</t>
  </si>
  <si>
    <t>Kitchen 3D Limited</t>
  </si>
  <si>
    <t>Graphic Design Print</t>
  </si>
  <si>
    <t>Wood and Home</t>
  </si>
  <si>
    <t>Qube Architects</t>
  </si>
  <si>
    <t>SOS Plumbing Services</t>
  </si>
  <si>
    <t>Get Set Cook</t>
  </si>
  <si>
    <t>XSPEED ENGINES</t>
  </si>
  <si>
    <t>Nelson News</t>
  </si>
  <si>
    <t>Solar Panel Bird Proofing Ken</t>
  </si>
  <si>
    <t>Corby Motors</t>
  </si>
  <si>
    <t>Kent Wasp Control</t>
  </si>
  <si>
    <t>Patrick Shoes</t>
  </si>
  <si>
    <t>Adam's Painting &amp; Decorating</t>
  </si>
  <si>
    <t>DRC Auto Sales</t>
  </si>
  <si>
    <t>Drive with Greta</t>
  </si>
  <si>
    <t>Olympus Mobile Tyre</t>
  </si>
  <si>
    <t>Vee Networks</t>
  </si>
  <si>
    <t>SSL</t>
  </si>
  <si>
    <t>iDrive Auto</t>
  </si>
  <si>
    <t>Optimum Global Care</t>
  </si>
  <si>
    <t>Know &amp; Grow Tutors</t>
  </si>
  <si>
    <t>Mk Global Consultant</t>
  </si>
  <si>
    <t>DelaVogue Fashion</t>
  </si>
  <si>
    <t>Space Car Executive</t>
  </si>
  <si>
    <t>13-October-2025</t>
  </si>
  <si>
    <t>31-October-2025</t>
  </si>
  <si>
    <t>+1</t>
  </si>
  <si>
    <t>11-February-2026</t>
  </si>
  <si>
    <t>13-February-2026</t>
  </si>
  <si>
    <t>AWNWAman Web Developer, Nikhil  Web Developer</t>
  </si>
  <si>
    <t>16-October-2025</t>
  </si>
  <si>
    <t>08-April-2026</t>
  </si>
  <si>
    <t>SEO - Coulon Stone</t>
  </si>
  <si>
    <t>+2</t>
  </si>
  <si>
    <t>03-October-2025</t>
  </si>
  <si>
    <t>09-April-2026</t>
  </si>
  <si>
    <t>27-October-2025</t>
  </si>
  <si>
    <t>13-April-2026</t>
  </si>
  <si>
    <t>02-March-2026</t>
  </si>
  <si>
    <t>AWASAman Web Developer, Abhijeet Singh Software Tester</t>
  </si>
  <si>
    <t>07-October-2025</t>
  </si>
  <si>
    <t>06-October-2025</t>
  </si>
  <si>
    <t>DWASDeepak Web Developer, Abhijeet Singh Software Tester</t>
  </si>
  <si>
    <t>11-October-2025</t>
  </si>
  <si>
    <t>AWAman Web Developer</t>
  </si>
  <si>
    <t>29-November-2025</t>
  </si>
  <si>
    <t>DWNWDeepak Web Developer, Nikhil  Web Developer</t>
  </si>
  <si>
    <t>10-October-2025</t>
  </si>
  <si>
    <t>22-October-2025</t>
  </si>
  <si>
    <t>25-October-2025</t>
  </si>
  <si>
    <t>17-December-2025</t>
  </si>
  <si>
    <t>08-December-2025</t>
  </si>
  <si>
    <t>12-January-2026</t>
  </si>
  <si>
    <t>19-January-2026</t>
  </si>
  <si>
    <t>30-January-2026</t>
  </si>
  <si>
    <t>04-February-2026</t>
  </si>
  <si>
    <t>17-April-2026</t>
  </si>
  <si>
    <t>ASNWAbhijeet Singh Software Tester, Nikhil  Web Developer</t>
  </si>
  <si>
    <t>10-April-2026</t>
  </si>
  <si>
    <t>18-April-2026</t>
  </si>
  <si>
    <t>Deepak Pachauri</t>
  </si>
  <si>
    <t>18-March-2026</t>
  </si>
  <si>
    <t>20-April-2026</t>
  </si>
  <si>
    <t>23-February-2026</t>
  </si>
  <si>
    <t>Pallavi</t>
  </si>
  <si>
    <t>16-March-2026</t>
  </si>
  <si>
    <t>24-April-2026</t>
  </si>
  <si>
    <t>DWVFDeepak Web Developer, Vani Frontend developer</t>
  </si>
  <si>
    <t>+4</t>
  </si>
  <si>
    <t>29-January-2026</t>
  </si>
  <si>
    <t>26-May-2026</t>
  </si>
  <si>
    <t>01-June-2026</t>
  </si>
  <si>
    <t>27-February-2026</t>
  </si>
  <si>
    <t>14-May-2026</t>
  </si>
  <si>
    <t>13-June-2026</t>
  </si>
  <si>
    <t>25-May-2026</t>
  </si>
  <si>
    <t>+3</t>
  </si>
  <si>
    <t>20-June-2026</t>
  </si>
  <si>
    <t>+5</t>
  </si>
  <si>
    <t>31-December-2026</t>
  </si>
  <si>
    <t>28-January-2026</t>
  </si>
  <si>
    <t>09-October-2025</t>
  </si>
  <si>
    <t>Count of S.No.</t>
  </si>
  <si>
    <t>Not live , Need to get update from internal team ( UAT )</t>
  </si>
  <si>
    <t>Sum of S.No.</t>
  </si>
  <si>
    <t>FastRanking OnBoarding Project Report</t>
  </si>
  <si>
    <t>All FastRanking Project Status Report</t>
  </si>
  <si>
    <t>On Going Client Project Status Report</t>
  </si>
  <si>
    <t>Waiting for client response - UAT Pending from client side.</t>
  </si>
  <si>
    <t>Need images from Avinash for the add-ons services, ETA : 29th June, 2026</t>
  </si>
  <si>
    <t>Need to follow-up regarding the client.</t>
  </si>
  <si>
    <t>Done.</t>
  </si>
  <si>
    <t>Waiting for client response - Need to followup.</t>
  </si>
  <si>
    <t>THR Gas and Solutions</t>
  </si>
  <si>
    <t>M13 Construction</t>
  </si>
  <si>
    <t>Grout &amp; Tile Sealing Service</t>
  </si>
  <si>
    <t>New Images Architects</t>
  </si>
  <si>
    <t>HTV Events</t>
  </si>
  <si>
    <t>YARDX</t>
  </si>
  <si>
    <t>Graphics Design &amp; Print</t>
  </si>
  <si>
    <t>London Bollards</t>
  </si>
  <si>
    <t>De'Osa Engineering</t>
  </si>
  <si>
    <t>Tailor Made Arrangement</t>
  </si>
  <si>
    <t xml:space="preserve">Camping is live. </t>
  </si>
  <si>
    <t>Aman &amp; Nikhil</t>
  </si>
  <si>
    <t>We want the product list for the final updates</t>
  </si>
  <si>
    <t>Demo not confirmed</t>
  </si>
  <si>
    <t>Any update on the UAT ? From client end</t>
  </si>
  <si>
    <t>TO-DO</t>
  </si>
  <si>
    <t>Contacts</t>
  </si>
  <si>
    <t>info.surgeproductions@gmail.com</t>
  </si>
  <si>
    <t>corbymotors@gmail.com</t>
  </si>
  <si>
    <t>info@optimumglobalcare.co.uk</t>
  </si>
  <si>
    <t>&lt;dhruv@varsityaudiovisuals.com&gt;&lt;info@varsityaudiovisuals.com&gt;</t>
  </si>
  <si>
    <t>kashif@eaglepropertycare.co.uk</t>
  </si>
  <si>
    <t>faith.fhfurniture@gmail.com</t>
  </si>
  <si>
    <t>red_scorpion5@hotmail.co.uk</t>
  </si>
  <si>
    <t>contact@obisonicdp.co.uk</t>
  </si>
  <si>
    <t>matthewelegbede99@gmail.com</t>
  </si>
  <si>
    <t>Mail sent</t>
  </si>
  <si>
    <t>thrgasandheatingsolutions@yahoo.com</t>
  </si>
  <si>
    <t>naz.m13@hotmail.com</t>
  </si>
  <si>
    <t>info@topmodatilingservices.co.uk</t>
  </si>
  <si>
    <t>shaz.etemadi7@gmail.com</t>
  </si>
  <si>
    <t>office.mdsspro@gmail.com</t>
  </si>
  <si>
    <t>admin@htvevents.co.uk</t>
  </si>
  <si>
    <t>Mohsinhussain110@hotmail.com</t>
  </si>
  <si>
    <t>designs@mrsoor.co.uk</t>
  </si>
  <si>
    <t>contact@londonbollards.com</t>
  </si>
  <si>
    <t>info@deosaengineering.co.uk</t>
  </si>
  <si>
    <t>NA/</t>
  </si>
  <si>
    <t>Project</t>
  </si>
  <si>
    <t>Task / Scope</t>
  </si>
  <si>
    <t>Sharooq Projects</t>
  </si>
  <si>
    <t>Catesby England</t>
  </si>
  <si>
    <t>Redesign the website, add additional features and pages, and add new products.</t>
  </si>
  <si>
    <t>Update product images (listed items), add new features and sections, and add new products.</t>
  </si>
  <si>
    <t>Northwest Territory</t>
  </si>
  <si>
    <t>Update product images (listed items), change section placements, and add new products.</t>
  </si>
  <si>
    <t>Daily</t>
  </si>
  <si>
    <t>Amen Shoes</t>
  </si>
  <si>
    <t>Redesign the website and add additional features and pages.</t>
  </si>
  <si>
    <t>Marketplace Website</t>
  </si>
  <si>
    <t>Stock updates.</t>
  </si>
  <si>
    <t>Weekly</t>
  </si>
  <si>
    <t>Design and create a new page and add new products.</t>
  </si>
  <si>
    <t>New CR</t>
  </si>
  <si>
    <t>Nomads – Mimansa</t>
  </si>
  <si>
    <t>N/A</t>
  </si>
  <si>
    <t>Nomads Trade (Wholesale)</t>
  </si>
  <si>
    <t>Removed the hidden feature, making all products visible to customers while keeping prices restricted to logged-in users.</t>
  </si>
  <si>
    <t>Category</t>
  </si>
  <si>
    <t>CR</t>
  </si>
  <si>
    <t>AMC</t>
  </si>
  <si>
    <t>NA</t>
  </si>
  <si>
    <t>Work Hours</t>
  </si>
  <si>
    <t>6h</t>
  </si>
  <si>
    <t>4h</t>
  </si>
  <si>
    <t>2h</t>
  </si>
  <si>
    <t>Creating MEGA Menu</t>
  </si>
  <si>
    <t>Task / Scope ( 9th July, 26 )</t>
  </si>
  <si>
    <t>Update product images (listed items)</t>
  </si>
  <si>
    <t>AllenHouse</t>
  </si>
  <si>
    <t>APS Websites</t>
  </si>
  <si>
    <t>Update the H1 tags, Slug , Blogs for all the 7 AllenHouse websites.</t>
  </si>
  <si>
    <t>3h</t>
  </si>
  <si>
    <t>Requirement</t>
  </si>
  <si>
    <t>Type</t>
  </si>
  <si>
    <t>CR Required?</t>
  </si>
  <si>
    <t>Reason</t>
  </si>
  <si>
    <t>Remove the date from all booking banners</t>
  </si>
  <si>
    <t>UI/Design Change</t>
  </si>
  <si>
    <t>✅ Yes</t>
  </si>
  <si>
    <t>Existing design is being modified.</t>
  </si>
  <si>
    <t>Add a new "Booking Type" field</t>
  </si>
  <si>
    <t>New Feature</t>
  </si>
  <si>
    <t>Introduction of a new form field and workflow.</t>
  </si>
  <si>
    <t>Position the field below Email and above Booking Date</t>
  </si>
  <si>
    <t>UI/Layout Change</t>
  </si>
  <si>
    <t>Changes the existing form structure.</t>
  </si>
  <si>
    <t>Add options: Individual, Small Group, Full Table</t>
  </si>
  <si>
    <t>Feature Enhancement</t>
  </si>
  <si>
    <t>New booking categories affecting functionality.</t>
  </si>
  <si>
    <t>Change Booking Date to dropdown for Individual &amp; Small Group</t>
  </si>
  <si>
    <t>Functional Change</t>
  </si>
  <si>
    <t>Existing booking behaviour is being modified.</t>
  </si>
  <si>
    <t>Show calendar picker for Full Table</t>
  </si>
  <si>
    <t>New conditional functionality.</t>
  </si>
  <si>
    <t>Restrict Full Table bookings to 15+ days</t>
  </si>
  <si>
    <t>Business Logic</t>
  </si>
  <si>
    <t>New validation/business rule.</t>
  </si>
  <si>
    <t>Allow existing Full Table events within 15 days to remain bookable</t>
  </si>
  <si>
    <t>Advanced Business Logic</t>
  </si>
  <si>
    <t>Additional booking workflow and database logic.</t>
  </si>
  <si>
    <t>Send booking details to Gmail after submission</t>
  </si>
  <si>
    <t>Notification Feature</t>
  </si>
  <si>
    <t>New email notification recipient/functionality.</t>
  </si>
  <si>
    <t>Send booking details to WhatsApp after submission</t>
  </si>
  <si>
    <t>Third-party Integration</t>
  </si>
  <si>
    <t>New WhatsApp notification integration.</t>
  </si>
  <si>
    <t>Current Status</t>
  </si>
  <si>
    <t>Service</t>
  </si>
  <si>
    <t>Project Cost</t>
  </si>
  <si>
    <t>Inc VAT (Invoice Value)</t>
  </si>
  <si>
    <t>Payment Frequence</t>
  </si>
  <si>
    <t>In-Progress</t>
  </si>
  <si>
    <t>Web Development</t>
  </si>
  <si>
    <t>£ 4,000.00</t>
  </si>
  <si>
    <t>One-off</t>
  </si>
  <si>
    <t>£ 333.33</t>
  </si>
  <si>
    <t>£ 400.00</t>
  </si>
  <si>
    <t>£ 200.00</t>
  </si>
  <si>
    <t>£ 240.00</t>
  </si>
  <si>
    <t>£ 480.00</t>
  </si>
  <si>
    <t>TBD</t>
  </si>
  <si>
    <t>£ 100.00</t>
  </si>
  <si>
    <t>£ 120.00</t>
  </si>
  <si>
    <t>£ 300.00</t>
  </si>
  <si>
    <t>£ 360.00</t>
  </si>
  <si>
    <t>Newly Added Projects</t>
  </si>
  <si>
    <t>£334.00</t>
  </si>
  <si>
    <t>One-off - Partial</t>
  </si>
  <si>
    <t>£750.00</t>
  </si>
  <si>
    <t>Malvern Renovation</t>
  </si>
  <si>
    <t>PAV'S Driving School</t>
  </si>
  <si>
    <t>88 Driving School</t>
  </si>
  <si>
    <t>GoldFinch Insulations LTD</t>
  </si>
  <si>
    <t>Reading Properties Group LTD</t>
  </si>
  <si>
    <t>Aspire Learning LTD</t>
  </si>
  <si>
    <t>De'osa Engg. LTD</t>
  </si>
  <si>
    <t>Client Name</t>
  </si>
  <si>
    <t>£900.00</t>
  </si>
  <si>
    <t>£400.00</t>
  </si>
  <si>
    <t>Richmond Toto Professional Cleaning Ltd</t>
  </si>
  <si>
    <t>On-Hold</t>
  </si>
  <si>
    <t>£450.00</t>
  </si>
  <si>
    <t>£540.00</t>
  </si>
  <si>
    <t>£250.00</t>
  </si>
  <si>
    <t>£300.00</t>
  </si>
  <si>
    <t>Footwear Depot</t>
  </si>
  <si>
    <t>Briggs Industrial Footwear Limited</t>
  </si>
  <si>
    <t>£599.00</t>
  </si>
  <si>
    <t>£718.80</t>
  </si>
  <si>
    <t>£598.00</t>
  </si>
  <si>
    <t>£499.00</t>
  </si>
  <si>
    <t>Sofiya Designs Ltd</t>
  </si>
  <si>
    <t>£600.00</t>
  </si>
  <si>
    <t>£720.00</t>
  </si>
  <si>
    <t>Mountains Of Glory</t>
  </si>
  <si>
    <t>£416.00</t>
  </si>
  <si>
    <t>£500.00</t>
  </si>
  <si>
    <t>Group</t>
  </si>
  <si>
    <t>Deals</t>
  </si>
  <si>
    <t>BUSINESS NAME</t>
  </si>
  <si>
    <t>Title</t>
  </si>
  <si>
    <t>Fulla Name</t>
  </si>
  <si>
    <t>Designation</t>
  </si>
  <si>
    <t>Phone</t>
  </si>
  <si>
    <t>Mobile</t>
  </si>
  <si>
    <t>Email</t>
  </si>
  <si>
    <t>Website</t>
  </si>
  <si>
    <t>Sale Status</t>
  </si>
  <si>
    <t>Techstack</t>
  </si>
  <si>
    <t>Cost</t>
  </si>
  <si>
    <t>Sale Date</t>
  </si>
  <si>
    <t>Business Type</t>
  </si>
  <si>
    <t>DSR</t>
  </si>
  <si>
    <t>Lead Created Date</t>
  </si>
  <si>
    <t>Lead ID</t>
  </si>
  <si>
    <t>Lead Type</t>
  </si>
  <si>
    <t>BDR</t>
  </si>
  <si>
    <t>Payment Frequency</t>
  </si>
  <si>
    <t>Payment Type</t>
  </si>
  <si>
    <t>BABYPINK</t>
  </si>
  <si>
    <t>Beauty, Hair &amp; Wellness</t>
  </si>
  <si>
    <t>No Website</t>
  </si>
  <si>
    <t>Sale Processed</t>
  </si>
  <si>
    <t>Web Dev</t>
  </si>
  <si>
    <t>New</t>
  </si>
  <si>
    <t>Other</t>
  </si>
  <si>
    <t>Fresh</t>
  </si>
  <si>
    <t>ANDY PARK PROMOTIONS</t>
  </si>
  <si>
    <t>Entertainment Agency</t>
  </si>
  <si>
    <t>Mr</t>
  </si>
  <si>
    <t>Andy Park</t>
  </si>
  <si>
    <t>Owner</t>
  </si>
  <si>
    <t>andypark8181@gmail.com</t>
  </si>
  <si>
    <t>https://www.andyparkpromotions.co.uk/</t>
  </si>
  <si>
    <t>Digital Marketing</t>
  </si>
  <si>
    <t>SMO</t>
  </si>
  <si>
    <t>Akram</t>
  </si>
  <si>
    <t>Monthly</t>
  </si>
  <si>
    <t>Recurring</t>
  </si>
  <si>
    <t>LOCKMAN247</t>
  </si>
  <si>
    <t>Security &amp; Safety</t>
  </si>
  <si>
    <t>Lee Bennett</t>
  </si>
  <si>
    <t>Director</t>
  </si>
  <si>
    <t>info@lockman247.co.uk</t>
  </si>
  <si>
    <t>https://lockman247.co.uk/</t>
  </si>
  <si>
    <t>SEO</t>
  </si>
  <si>
    <t>Cross-Sell</t>
  </si>
  <si>
    <t>METALMASTER PROMOTIONS UK LTD</t>
  </si>
  <si>
    <t>Specialist Trades</t>
  </si>
  <si>
    <t>Paul Sammut</t>
  </si>
  <si>
    <t>info4u2@metalmaster.co.uk</t>
  </si>
  <si>
    <t>https://www.metalmaster.co.uk/</t>
  </si>
  <si>
    <t>£100.00</t>
  </si>
  <si>
    <t>DW STORE</t>
  </si>
  <si>
    <t>Clothing</t>
  </si>
  <si>
    <t>D W Store</t>
  </si>
  <si>
    <t>Dudley Washington</t>
  </si>
  <si>
    <t>alexlawson660@gmail.com</t>
  </si>
  <si>
    <t>Coulon Stone Limited</t>
  </si>
  <si>
    <t>Tiling, Bathrooms &amp; Kitchens</t>
  </si>
  <si>
    <t>Simon Coulon</t>
  </si>
  <si>
    <t>simon@coulonstone.com</t>
  </si>
  <si>
    <t>https://coulonstone.com/</t>
  </si>
  <si>
    <t>ALAN LAM</t>
  </si>
  <si>
    <t>Health &amp; Supplements</t>
  </si>
  <si>
    <t>Alan Lam</t>
  </si>
  <si>
    <t>admin@alan-lam.co.uk</t>
  </si>
  <si>
    <t>https://www.alan-lam.co.uk/</t>
  </si>
  <si>
    <t>108 BUILDERS LIMITED</t>
  </si>
  <si>
    <t>Builders &amp; General Construction</t>
  </si>
  <si>
    <t>Bogdan Tomaszewicz</t>
  </si>
  <si>
    <t>bogdan@108builders.co.uk</t>
  </si>
  <si>
    <t>https://108builders.co.uk/</t>
  </si>
  <si>
    <t>M - CABS LYMEREGIS</t>
  </si>
  <si>
    <t>Taxi, Chauffeur &amp; Transport</t>
  </si>
  <si>
    <t>Christian Joseph</t>
  </si>
  <si>
    <t>vonmerowing@gmail.com</t>
  </si>
  <si>
    <t>https://mcabslymeregis.co.uk/</t>
  </si>
  <si>
    <t>Superhouse Group</t>
  </si>
  <si>
    <t>Footwear</t>
  </si>
  <si>
    <t>NOTHWEST TERRITORY</t>
  </si>
  <si>
    <t>Sharooq Imam</t>
  </si>
  <si>
    <t>Manager</t>
  </si>
  <si>
    <t>sharooq@patrickshoes.co.uk</t>
  </si>
  <si>
    <t>https://northwestterritory.co.uk/</t>
  </si>
  <si>
    <t>PAUL BAILEY HOME EXTENSIONS</t>
  </si>
  <si>
    <t>Paul Bailey</t>
  </si>
  <si>
    <t>Info@paulbailey.info</t>
  </si>
  <si>
    <t>https://loftconversionsessex.co.uk/</t>
  </si>
  <si>
    <t>£150.00</t>
  </si>
  <si>
    <t>MASSEY PROPERTY</t>
  </si>
  <si>
    <t>Property &amp; Real Estate</t>
  </si>
  <si>
    <t>Mrs</t>
  </si>
  <si>
    <t>Joanna Martin</t>
  </si>
  <si>
    <t>jo.blaise@masseyproperty.com</t>
  </si>
  <si>
    <t>https://www.masseyproperty.com/</t>
  </si>
  <si>
    <t>LB TAXI</t>
  </si>
  <si>
    <t>L B Taxis Ltd</t>
  </si>
  <si>
    <t>Mohammed Belal Ahmed</t>
  </si>
  <si>
    <t>belal-mhd@hotmail.co.uk</t>
  </si>
  <si>
    <t>https://lbtaxi.co.uk/</t>
  </si>
  <si>
    <t>XTRA SENSE</t>
  </si>
  <si>
    <t>Peter Hutcheson</t>
  </si>
  <si>
    <t>security@xtra-sense.co.uk</t>
  </si>
  <si>
    <t>https://www.xtra-sense.co.uk/</t>
  </si>
  <si>
    <t>AHIMSA LONDON LIMITED</t>
  </si>
  <si>
    <t>Jewellery</t>
  </si>
  <si>
    <t>LABMADE DIAMOND</t>
  </si>
  <si>
    <t>Nerav Mehta</t>
  </si>
  <si>
    <t>ahimsalondon@gmail.com</t>
  </si>
  <si>
    <t>https://www.labmadediamonds.co.uk/</t>
  </si>
  <si>
    <t>£3,000.00</t>
  </si>
  <si>
    <t>£799.00</t>
  </si>
  <si>
    <t>Plan And Build London Ltd</t>
  </si>
  <si>
    <t>Education &amp; Training</t>
  </si>
  <si>
    <t>REVISE WITH ME</t>
  </si>
  <si>
    <t>Tomi Adebayo</t>
  </si>
  <si>
    <t>tomi@planandbuild.net</t>
  </si>
  <si>
    <t>https://revisewithme.com/</t>
  </si>
  <si>
    <t>£8,500.00</t>
  </si>
  <si>
    <t>M &amp; A STRUCTURAL DESIGN</t>
  </si>
  <si>
    <t>Engineering &amp; Structural</t>
  </si>
  <si>
    <t>M&amp;A STRUCTURAL DESIGN SERVICES LIMITTED</t>
  </si>
  <si>
    <t>Ahmed Yasser</t>
  </si>
  <si>
    <t>info@masds.co.uk</t>
  </si>
  <si>
    <t>https://masds.co.uk/</t>
  </si>
  <si>
    <t>BEST SIZZLER</t>
  </si>
  <si>
    <t>Food &amp; Hospitality</t>
  </si>
  <si>
    <t>BEST SIZZLER LIMITED</t>
  </si>
  <si>
    <t>Arbaaz Ahmed</t>
  </si>
  <si>
    <t>arbaz007o1@gmail.com</t>
  </si>
  <si>
    <t>£1,000.00</t>
  </si>
  <si>
    <t>FRID002128</t>
  </si>
  <si>
    <t>Tamal</t>
  </si>
  <si>
    <t>KAD ELECTRICALS</t>
  </si>
  <si>
    <t>Electrical Services</t>
  </si>
  <si>
    <t>KAD ELECTRICIANS LTD</t>
  </si>
  <si>
    <t>Kastro Pashku</t>
  </si>
  <si>
    <t>info@kadelectricians.co.uk</t>
  </si>
  <si>
    <t>https://kadelectricians.co.uk/</t>
  </si>
  <si>
    <t>FRID002129</t>
  </si>
  <si>
    <t>DA ROWLEY</t>
  </si>
  <si>
    <t>D A ROWLEY LIMITED</t>
  </si>
  <si>
    <t>Andrew Rowley</t>
  </si>
  <si>
    <t>arowley07@aol.com</t>
  </si>
  <si>
    <t>http://www.darowley.com/</t>
  </si>
  <si>
    <t>FRID002130</t>
  </si>
  <si>
    <t>PATCHITT JOINERY</t>
  </si>
  <si>
    <t>Carpentry &amp; Joinery</t>
  </si>
  <si>
    <t>A AND C R PATCHITT</t>
  </si>
  <si>
    <t>Samuel Patchitt</t>
  </si>
  <si>
    <t>sam@patchitt-joinery.co.uk</t>
  </si>
  <si>
    <t>https://patchitt-joinery.co.uk/</t>
  </si>
  <si>
    <t>FRID002131</t>
  </si>
  <si>
    <t>10 PLUS ONE STORE</t>
  </si>
  <si>
    <t>Retail &amp; E-Commerce</t>
  </si>
  <si>
    <t>Kamal Jeet Singh</t>
  </si>
  <si>
    <t>11elevenmotion@gmail.com</t>
  </si>
  <si>
    <t>https://10plusonestore.co.uk/</t>
  </si>
  <si>
    <t>£1,200.00</t>
  </si>
  <si>
    <t>FRID002132</t>
  </si>
  <si>
    <t>SPLENDENT TILE &amp; PAINT LTD</t>
  </si>
  <si>
    <t>Sohan Singh</t>
  </si>
  <si>
    <t>splendent1984@gmail.com</t>
  </si>
  <si>
    <t>https://splendenttile.co.uk/</t>
  </si>
  <si>
    <t>Aryan</t>
  </si>
  <si>
    <t>FRID002948</t>
  </si>
  <si>
    <t>AMEN SHOES - PATRICK SHOES LIMITED</t>
  </si>
  <si>
    <t>Noain Bakshi</t>
  </si>
  <si>
    <t>noain@patrickshoes.co.uk</t>
  </si>
  <si>
    <t>https://amenshoesuk.co.uk/</t>
  </si>
  <si>
    <t>FRID002115</t>
  </si>
  <si>
    <t>Reference</t>
  </si>
  <si>
    <t>£200.00</t>
  </si>
  <si>
    <t>SHOREDITCH INN LIMITED</t>
  </si>
  <si>
    <t>Praveen Kishore</t>
  </si>
  <si>
    <t>raj@shoreditchinn.com</t>
  </si>
  <si>
    <t>https://shoreditchinn.com/</t>
  </si>
  <si>
    <t>FRID002136</t>
  </si>
  <si>
    <t>SCOTTAXI</t>
  </si>
  <si>
    <t>SCOT TAXI</t>
  </si>
  <si>
    <t>Nikolay Kostov</t>
  </si>
  <si>
    <t>booking@scottaxi.com</t>
  </si>
  <si>
    <t>https://scottaxi.com/</t>
  </si>
  <si>
    <t>FRID002137</t>
  </si>
  <si>
    <t>SILVER STREET - SUPERHOUSE (UK) LIMITED</t>
  </si>
  <si>
    <t>Akbar Waris</t>
  </si>
  <si>
    <t>https://www.silverstreetlondon.co.uk/</t>
  </si>
  <si>
    <t>BRIGGS INDUSTRIAL FOOTWEAR LIMITED</t>
  </si>
  <si>
    <t>https://briggssafetywear.com/</t>
  </si>
  <si>
    <t>FRID002169</t>
  </si>
  <si>
    <t>MILTON MENSWEAR LIMITED</t>
  </si>
  <si>
    <t>Jeremy John Lawson</t>
  </si>
  <si>
    <t>sales@alfa-menswear.com</t>
  </si>
  <si>
    <t>https://www.alfa-menswear.com/</t>
  </si>
  <si>
    <t>FRID002174</t>
  </si>
  <si>
    <t>SADDLER ACCESSORIES LTD</t>
  </si>
  <si>
    <t>Gavin Watson</t>
  </si>
  <si>
    <t>gavin@saddler-accessories.com</t>
  </si>
  <si>
    <t>https://saddler-accessories.com/</t>
  </si>
  <si>
    <t>FRID000202</t>
  </si>
  <si>
    <t>SOS PLUMBING SERVICES LTD</t>
  </si>
  <si>
    <t>Plumbing, Heating &amp; Gas</t>
  </si>
  <si>
    <t>Claudiu Stefan Rosca</t>
  </si>
  <si>
    <t>plumbingservices83@gmail.com</t>
  </si>
  <si>
    <t>https://sosplumberservices.co.uk/</t>
  </si>
  <si>
    <t>FRID000077</t>
  </si>
  <si>
    <t>Ibrahim</t>
  </si>
  <si>
    <t>Paid</t>
  </si>
  <si>
    <t>SADGURU KRUPA LIMITED</t>
  </si>
  <si>
    <t>Yogeshkumar Patel</t>
  </si>
  <si>
    <t>nelson.news17@hotmail.com</t>
  </si>
  <si>
    <t>https://mertonparkpostoffice.co.uk/</t>
  </si>
  <si>
    <t>FRID000221</t>
  </si>
  <si>
    <t>Abhinav</t>
  </si>
  <si>
    <t>JOHN FRENCH T/A RED RADIO - FAST RANKING</t>
  </si>
  <si>
    <t>John French</t>
  </si>
  <si>
    <t>john@red-radio.co.uk</t>
  </si>
  <si>
    <t>https://www.red-radio.co.uk/</t>
  </si>
  <si>
    <t>£800.00</t>
  </si>
  <si>
    <t>FRID002206</t>
  </si>
  <si>
    <t>CARUNIVERSAL LTD</t>
  </si>
  <si>
    <t>Automotive &amp; Vehicle Services</t>
  </si>
  <si>
    <t>Veaceslav Anestiade</t>
  </si>
  <si>
    <t>caruniversalltd.office@gmail.com</t>
  </si>
  <si>
    <t>£562.50</t>
  </si>
  <si>
    <t>FRID000547</t>
  </si>
  <si>
    <t>Naveen</t>
  </si>
  <si>
    <t>EURO GLAZING LTD</t>
  </si>
  <si>
    <t>Glazing &amp; Windows</t>
  </si>
  <si>
    <t>Rana Khan</t>
  </si>
  <si>
    <t>euroglazingwindows@gmail.com</t>
  </si>
  <si>
    <t>https://www.euro-glazing.uk/</t>
  </si>
  <si>
    <t>FRID000115</t>
  </si>
  <si>
    <t>ROTHERHAM ROAD RUNNER LTD</t>
  </si>
  <si>
    <t>Faisal Syed</t>
  </si>
  <si>
    <t>rotherhamroadrunner@yahoo.com</t>
  </si>
  <si>
    <t>FRID001762</t>
  </si>
  <si>
    <t>Franklin</t>
  </si>
  <si>
    <t>COUNSELLING THERAPY LONDON</t>
  </si>
  <si>
    <t>Consulting &amp; Business Services</t>
  </si>
  <si>
    <t>Ms</t>
  </si>
  <si>
    <t>Dhanesh Sakaria</t>
  </si>
  <si>
    <t>info@counsellingtherapylondon.co.uk</t>
  </si>
  <si>
    <t>https://counsellingtherapylondon.co.uk/</t>
  </si>
  <si>
    <t>FRID001435</t>
  </si>
  <si>
    <t>Ankita</t>
  </si>
  <si>
    <t>ALLENHOUSE - (APS + DPS)</t>
  </si>
  <si>
    <t>Sanjay Kapoor</t>
  </si>
  <si>
    <t>director@knowledgehouse.org.in</t>
  </si>
  <si>
    <t>https://allenhouseschools.com/</t>
  </si>
  <si>
    <t>£6,500.00</t>
  </si>
  <si>
    <t>Production Support &amp; Maintenance</t>
  </si>
  <si>
    <t>Hosting &amp; Maintenance</t>
  </si>
  <si>
    <t>£125.00</t>
  </si>
  <si>
    <t>Annually</t>
  </si>
  <si>
    <t>Need to send</t>
  </si>
  <si>
    <t>DRC AUTO SALES LTD</t>
  </si>
  <si>
    <t>Violeta Badan</t>
  </si>
  <si>
    <t>office@drcautosales.co.uk</t>
  </si>
  <si>
    <t>https://www.drcautosales.co.uk/</t>
  </si>
  <si>
    <t>FRID002285</t>
  </si>
  <si>
    <t>TOP MODA TILING SERVICES</t>
  </si>
  <si>
    <t>Remon Daly</t>
  </si>
  <si>
    <t>https://topmodatilingservices.co.uk/</t>
  </si>
  <si>
    <t>FRID002376</t>
  </si>
  <si>
    <t>Anurag</t>
  </si>
  <si>
    <t>HIRE SUPPORT LIMITED</t>
  </si>
  <si>
    <t>Haney Abulebdeh</t>
  </si>
  <si>
    <t>hire.s95@aol.com</t>
  </si>
  <si>
    <t>FRID002170</t>
  </si>
  <si>
    <t>BLU PLUMBING</t>
  </si>
  <si>
    <t>BLU PLUMBING LIMITED</t>
  </si>
  <si>
    <t>Ivan Kondov</t>
  </si>
  <si>
    <t>info@bluplumbing.co.uk</t>
  </si>
  <si>
    <t>https://bluplumbing.co.uk/</t>
  </si>
  <si>
    <t>FRID000286</t>
  </si>
  <si>
    <t>CHESHIRE TOOL AND PRESSING COMPANY LIMITED</t>
  </si>
  <si>
    <t>Phillip Carr</t>
  </si>
  <si>
    <t>phil.carr@ctcpressings.com</t>
  </si>
  <si>
    <t>https://ctc-cheshiretool.co.uk/</t>
  </si>
  <si>
    <t>FRID000210</t>
  </si>
  <si>
    <t>Shivank</t>
  </si>
  <si>
    <t>ARTEM PAINTERS</t>
  </si>
  <si>
    <t>Painting &amp; Decorating</t>
  </si>
  <si>
    <t>Mr. Perrie .</t>
  </si>
  <si>
    <t>perrie@artempainters.com</t>
  </si>
  <si>
    <t>https://www.artempainters.com/</t>
  </si>
  <si>
    <t>£330.00</t>
  </si>
  <si>
    <t>FRID002505</t>
  </si>
  <si>
    <t>OLYMPUS MOBILE TYRE FITTING</t>
  </si>
  <si>
    <t>Antonio</t>
  </si>
  <si>
    <t>hello@olympustyres.co.uk</t>
  </si>
  <si>
    <t>https://olympusmobiletyrefitting.co.uk/</t>
  </si>
  <si>
    <t>FRID002550</t>
  </si>
  <si>
    <t>Dhruv</t>
  </si>
  <si>
    <t>CAMERABOSS PHOTOGRAPHY UK</t>
  </si>
  <si>
    <t>Photography &amp; Media</t>
  </si>
  <si>
    <t>John Lekan</t>
  </si>
  <si>
    <t>camerabossphotos@gmail.com</t>
  </si>
  <si>
    <t>https://www.cameraboss.co.uk/</t>
  </si>
  <si>
    <t>£140.00</t>
  </si>
  <si>
    <t>FRID002501</t>
  </si>
  <si>
    <t>Yashwin</t>
  </si>
  <si>
    <t>KITES FOR SCHOOL</t>
  </si>
  <si>
    <t>Karen Gamble</t>
  </si>
  <si>
    <t>kites@kitesforschools.co.uk</t>
  </si>
  <si>
    <t>https://kitesforschools.co.uk/</t>
  </si>
  <si>
    <t>NEWHAM SCHOOL OF MOTORING</t>
  </si>
  <si>
    <t>Driving Schools &amp; Instructors</t>
  </si>
  <si>
    <t>Mohammed</t>
  </si>
  <si>
    <t>newhamschoolofmotoring@gmail.com</t>
  </si>
  <si>
    <t>https://newhamschoolofmotoring.co.uk/</t>
  </si>
  <si>
    <t>FRID002795</t>
  </si>
  <si>
    <t>TAROT READING BY AKSHATA K</t>
  </si>
  <si>
    <t>Akshata Kamble</t>
  </si>
  <si>
    <t>akshatak.ak@gmail.com</t>
  </si>
  <si>
    <t>£110.00</t>
  </si>
  <si>
    <t>FRID001958</t>
  </si>
  <si>
    <t>OPTIMUM GLOBAL</t>
  </si>
  <si>
    <t>OPTIMUM GLOBAL LINKS</t>
  </si>
  <si>
    <t>Sodiq</t>
  </si>
  <si>
    <t>jaydas2001@yahoo.co.uk</t>
  </si>
  <si>
    <t>https://www.optimumgloballinks.co.uk/</t>
  </si>
  <si>
    <t>FRID002665</t>
  </si>
  <si>
    <t>AVIN ACCOUNTANTS LTD</t>
  </si>
  <si>
    <t>Financial &amp; Accounting</t>
  </si>
  <si>
    <t>Vinodkumar Valand</t>
  </si>
  <si>
    <t>vinod@avinaccountants.com</t>
  </si>
  <si>
    <t>https://avinaccountants.com/</t>
  </si>
  <si>
    <t>FRID002069</t>
  </si>
  <si>
    <t>Kaveer</t>
  </si>
  <si>
    <t>BRITISH QUILTING</t>
  </si>
  <si>
    <t>Mustafa Gunc</t>
  </si>
  <si>
    <t>mustafagunc@yahoo.com</t>
  </si>
  <si>
    <t>https://britishquilting.com/</t>
  </si>
  <si>
    <t>FRID003459</t>
  </si>
  <si>
    <t>FLY INTERNATIONAL TRADING LTD</t>
  </si>
  <si>
    <t>Wei Yang</t>
  </si>
  <si>
    <t>flytrading@gmail.com</t>
  </si>
  <si>
    <t>https://flybedding.com/</t>
  </si>
  <si>
    <t>£420.00</t>
  </si>
  <si>
    <t>FRID003418</t>
  </si>
  <si>
    <t>RAE FINANCIAL ADVISORY SERVICES LTD</t>
  </si>
  <si>
    <t>Ramzy Abu Eda</t>
  </si>
  <si>
    <t>ramzy@raefinancialservices.co.uk</t>
  </si>
  <si>
    <t>https://raefinancialservices.co.uk/</t>
  </si>
  <si>
    <t>FRID003240</t>
  </si>
  <si>
    <t>Bhumi</t>
  </si>
  <si>
    <t>SOFIYA DESIGNS LIMITED</t>
  </si>
  <si>
    <t>Architecture &amp; Design</t>
  </si>
  <si>
    <t>Sofiya Burnusuz</t>
  </si>
  <si>
    <t>sofiya@sofiyadesigns.co.uk</t>
  </si>
  <si>
    <t>https://sofiyadesigns.co.uk/</t>
  </si>
  <si>
    <t>FRID003545</t>
  </si>
  <si>
    <t>BURAQ ELECTRIC</t>
  </si>
  <si>
    <t>Habib Khan</t>
  </si>
  <si>
    <t>info@buraqelectic.co.uk</t>
  </si>
  <si>
    <t>https://buraqelectric.co.uk/</t>
  </si>
  <si>
    <t>FRID003551</t>
  </si>
  <si>
    <t>Rohit</t>
  </si>
  <si>
    <t>RAFIQ CATERING</t>
  </si>
  <si>
    <t>Rafiq Patel</t>
  </si>
  <si>
    <t>info@rafiqcatering.com</t>
  </si>
  <si>
    <t>https://www.rafiqcatering.com/</t>
  </si>
  <si>
    <t>FRID003635</t>
  </si>
  <si>
    <t>SECURITY PROTECTION LTD</t>
  </si>
  <si>
    <t>Harprtte Nazwan</t>
  </si>
  <si>
    <t>info.spro.ltd@gmail.com</t>
  </si>
  <si>
    <t>https://securityprotectionltd.co.uk/</t>
  </si>
  <si>
    <t>FRID003663</t>
  </si>
  <si>
    <t>Mamta</t>
  </si>
  <si>
    <t>TNO LIMITED</t>
  </si>
  <si>
    <t>Oleg Angheluta</t>
  </si>
  <si>
    <t>tno_limited@yahoo.com</t>
  </si>
  <si>
    <t>FRID003218</t>
  </si>
  <si>
    <t>Shone</t>
  </si>
  <si>
    <t>£82.00</t>
  </si>
  <si>
    <t>KING SOUTHERN SECURITY</t>
  </si>
  <si>
    <t>Duzgun Cifci</t>
  </si>
  <si>
    <t>INFO@KGSSECURITY.CO.UK</t>
  </si>
  <si>
    <t>FRID003680</t>
  </si>
  <si>
    <t>DAG METAL WORKS</t>
  </si>
  <si>
    <t>Murat Dag</t>
  </si>
  <si>
    <t>dagmetalwork@gmail.com</t>
  </si>
  <si>
    <t>https://dagmetalworks.co.uk/</t>
  </si>
  <si>
    <t>FRID002970</t>
  </si>
  <si>
    <t>EAGLE PROPERTY</t>
  </si>
  <si>
    <t>£417.00</t>
  </si>
  <si>
    <t>HMO HORIZON</t>
  </si>
  <si>
    <t>Idris Zia</t>
  </si>
  <si>
    <t>idris@hmohorizon.co.uk</t>
  </si>
  <si>
    <t>https://hmohorizon.co.uk/</t>
  </si>
  <si>
    <t>£168.00</t>
  </si>
  <si>
    <t>FRID003728</t>
  </si>
  <si>
    <t>WOODANDHOME</t>
  </si>
  <si>
    <t>Przzemek</t>
  </si>
  <si>
    <t>office@woodandhome.co.uk</t>
  </si>
  <si>
    <t>https://woodandhome.co.uk/</t>
  </si>
  <si>
    <t>FRID003787</t>
  </si>
  <si>
    <t>ALLELECTRIX DOMESTIC APPLIANCES SALES &amp; REPAIRS</t>
  </si>
  <si>
    <t>General Retail &amp; Stores</t>
  </si>
  <si>
    <t>Donovan Webley</t>
  </si>
  <si>
    <t>pilotwebley@me.com</t>
  </si>
  <si>
    <t>https://allelectrixwebley.co.uk/</t>
  </si>
  <si>
    <t>£633.33</t>
  </si>
  <si>
    <t>FRID003814</t>
  </si>
  <si>
    <t>Rohit Gambhir</t>
  </si>
  <si>
    <t>BATHROOMS LONDON LIMITED</t>
  </si>
  <si>
    <t>Khyyam Nabil Potia</t>
  </si>
  <si>
    <t>hello@bathroomslondonltd.com</t>
  </si>
  <si>
    <t>https://www.bathroomslondonltd.com/</t>
  </si>
  <si>
    <t>FRID002648</t>
  </si>
  <si>
    <t>ROOFING XPERTS LTD</t>
  </si>
  <si>
    <t>Roofing &amp; Guttering</t>
  </si>
  <si>
    <t>Jatinder Pal Singh</t>
  </si>
  <si>
    <t>Info@roofingxperts.co.uk</t>
  </si>
  <si>
    <t>https://roofingxperts.co.uk/</t>
  </si>
  <si>
    <t>£210.00</t>
  </si>
  <si>
    <t>FRID003493</t>
  </si>
  <si>
    <t>NOMADS CLOTHING LTD</t>
  </si>
  <si>
    <t>https://nomadsclothing.com/</t>
  </si>
  <si>
    <t>THR GAS &amp; HEATING SOLUTIONS</t>
  </si>
  <si>
    <t>Anwarul Kabir</t>
  </si>
  <si>
    <t>thrgasnheatingsolutions@yahoo.com</t>
  </si>
  <si>
    <t>https://thrgasnheatingsolutions.co.uk/</t>
  </si>
  <si>
    <t>FRID001941</t>
  </si>
  <si>
    <t>BEST VALUE AUTOS</t>
  </si>
  <si>
    <t>Kamal Kapadia</t>
  </si>
  <si>
    <t>contactbestvalueauto@gmail.com</t>
  </si>
  <si>
    <t>https://bestvalueauto.co.uk/</t>
  </si>
  <si>
    <t>Varun</t>
  </si>
  <si>
    <t>FRID003542</t>
  </si>
  <si>
    <t>VIP CHAUFFEURS SERVICE LONDON LTD</t>
  </si>
  <si>
    <t>Vladimirs Kuncevics</t>
  </si>
  <si>
    <t>contact@vvkcontractorsltd.com</t>
  </si>
  <si>
    <t>https://vipchauffeursservice.co.uk/</t>
  </si>
  <si>
    <t>FRID003796</t>
  </si>
  <si>
    <t>ARI TRANS LTD</t>
  </si>
  <si>
    <t>Logistics</t>
  </si>
  <si>
    <t>Ovidiu Socel</t>
  </si>
  <si>
    <t>ovidiu_socel@icloud.com</t>
  </si>
  <si>
    <t>https://www.road-van-finder.co.uk/</t>
  </si>
  <si>
    <t>FRID003377</t>
  </si>
  <si>
    <t>Decorator In London</t>
  </si>
  <si>
    <t>Andrew Nicholson</t>
  </si>
  <si>
    <t>info@decoratorinlondon.co.uk</t>
  </si>
  <si>
    <t>FRID002059</t>
  </si>
  <si>
    <t>FINE FINISH DECORATIVE</t>
  </si>
  <si>
    <t>MS &amp; MR CLEANING</t>
  </si>
  <si>
    <t>Cleaning &amp; Maintenance</t>
  </si>
  <si>
    <t>Lazime Shehu</t>
  </si>
  <si>
    <t>msandmrcleaning@gmail.com</t>
  </si>
  <si>
    <t>https://msandmrcleaning.co.uk/</t>
  </si>
  <si>
    <t>FRID003768</t>
  </si>
  <si>
    <t>241451/241609</t>
  </si>
  <si>
    <t>CATESBY</t>
  </si>
  <si>
    <t>noain@testtest.com</t>
  </si>
  <si>
    <t>https://catesbyengland.com/</t>
  </si>
  <si>
    <t>£395.00</t>
  </si>
  <si>
    <t>FRID004152</t>
  </si>
  <si>
    <t>VARSITY MUSIC</t>
  </si>
  <si>
    <t>Dhruv Patel</t>
  </si>
  <si>
    <t>info@varsityaudiovisuals.com</t>
  </si>
  <si>
    <t>FRID003850</t>
  </si>
  <si>
    <t>BE STUDIO INTERIORS AND ARCHITECTURE</t>
  </si>
  <si>
    <t>Bilal Tatar</t>
  </si>
  <si>
    <t>contact@be-studio.co.uk</t>
  </si>
  <si>
    <t>https://www.be-studio.co.uk/</t>
  </si>
  <si>
    <t>FRID004042</t>
  </si>
  <si>
    <t>CAR THEFT PROTECT</t>
  </si>
  <si>
    <t>Jack Sparrow</t>
  </si>
  <si>
    <t>office@cartheftprotect.co.uk</t>
  </si>
  <si>
    <t>https://cartheftprotect.co.uk/</t>
  </si>
  <si>
    <t>FRID004188</t>
  </si>
  <si>
    <t>Aakash</t>
  </si>
  <si>
    <t>https://drcautosales.co.uk/</t>
  </si>
  <si>
    <t>KN DRIVING SCHOOL</t>
  </si>
  <si>
    <t>Khalil</t>
  </si>
  <si>
    <t>kan_25_naz@yahoo.co.uk</t>
  </si>
  <si>
    <t>https://kndriving.co.uk/</t>
  </si>
  <si>
    <t>£209.00</t>
  </si>
  <si>
    <t>FRID004245</t>
  </si>
  <si>
    <t>LEAPS DRIVING SCHOOL</t>
  </si>
  <si>
    <t>Shahnaz Nasir</t>
  </si>
  <si>
    <t>leapsdrivingschool@gmail.com</t>
  </si>
  <si>
    <t>https://leapsdrivingschool.co.uk/</t>
  </si>
  <si>
    <t>FRID003364</t>
  </si>
  <si>
    <t>P PLUS P ARCHITECTS</t>
  </si>
  <si>
    <t>Michele Picoraro</t>
  </si>
  <si>
    <t>info@pplusparchitects.com</t>
  </si>
  <si>
    <t>https://pplusparchitects.com/</t>
  </si>
  <si>
    <t>FRID004140</t>
  </si>
  <si>
    <t>KAE AESTHETICS LTD</t>
  </si>
  <si>
    <t>Karen Eilbeck</t>
  </si>
  <si>
    <t>deleky335@gmail.com</t>
  </si>
  <si>
    <t>FRID004094</t>
  </si>
  <si>
    <t>ROOSTERS HIGH STREET LTD</t>
  </si>
  <si>
    <t>CORIANDER LAUNGE</t>
  </si>
  <si>
    <t>Mohammed Shabeer Ul Haq</t>
  </si>
  <si>
    <t>shabeersperiperi@gmail.com</t>
  </si>
  <si>
    <t>https://corianderlounge.com/</t>
  </si>
  <si>
    <t>FRID004377</t>
  </si>
  <si>
    <t>ALPHA EUROPE LTD</t>
  </si>
  <si>
    <t>https://getsetcook.co.uk/</t>
  </si>
  <si>
    <t>AUTO MARKET PLACE LIMITED</t>
  </si>
  <si>
    <t>Valentin Apostu</t>
  </si>
  <si>
    <t>support@carmarketonline.co.uk</t>
  </si>
  <si>
    <t>https://carmarketonline.co.uk/</t>
  </si>
  <si>
    <t>£666.67</t>
  </si>
  <si>
    <t>FRID004575</t>
  </si>
  <si>
    <t>BE PRETTY</t>
  </si>
  <si>
    <t>Inesa</t>
  </si>
  <si>
    <t>bprettyinesa@gmail.com</t>
  </si>
  <si>
    <t>https://b-pretty.co.uk/</t>
  </si>
  <si>
    <t>FRID004555</t>
  </si>
  <si>
    <t>ARNOLD DRIVING ACADEMY</t>
  </si>
  <si>
    <t>Tony</t>
  </si>
  <si>
    <t>tonyswali.ns@gmail.com</t>
  </si>
  <si>
    <t>https://arnold-drivingacademy.co.uk/</t>
  </si>
  <si>
    <t>FRID004588</t>
  </si>
  <si>
    <t>Patrick</t>
  </si>
  <si>
    <t>https://claritycompare.com/</t>
  </si>
  <si>
    <t>£1,665.00</t>
  </si>
  <si>
    <t>LAYLA GORDON NUTRITION LTD</t>
  </si>
  <si>
    <t>Layla Gordon</t>
  </si>
  <si>
    <t>layla@laylagordon.uk</t>
  </si>
  <si>
    <t>https://laylagordon.uk/</t>
  </si>
  <si>
    <t>FRID004076</t>
  </si>
  <si>
    <t>GET DAMP PROOFING</t>
  </si>
  <si>
    <t>Gee</t>
  </si>
  <si>
    <t>getdampproofing@gmail.com</t>
  </si>
  <si>
    <t>FRID004178</t>
  </si>
  <si>
    <t>Rohit - 2</t>
  </si>
  <si>
    <t>CROSSMARKET ACCOUNTING LTD</t>
  </si>
  <si>
    <t>David Daoud</t>
  </si>
  <si>
    <t>info@crossmarket.co.uk</t>
  </si>
  <si>
    <t>https://crossmarket.co.uk/</t>
  </si>
  <si>
    <t>FRID004862</t>
  </si>
  <si>
    <t>G &amp; G AIRCON AIRCON SERVICES LIMITED</t>
  </si>
  <si>
    <t>Fox air conditioning &amp; renewables ltd</t>
  </si>
  <si>
    <t>Louis Fox</t>
  </si>
  <si>
    <t>Foxairconditioning@outlook.com</t>
  </si>
  <si>
    <t>https://www.foxairconditioning.co.uk/</t>
  </si>
  <si>
    <t>£333.30</t>
  </si>
  <si>
    <t>FRID003415</t>
  </si>
  <si>
    <t>Email Marketing</t>
  </si>
  <si>
    <t>USMAN AUTOS</t>
  </si>
  <si>
    <t>Usman Autos &amp; Services</t>
  </si>
  <si>
    <t>Usman Ali</t>
  </si>
  <si>
    <t>usmanautosltd@gmail.com</t>
  </si>
  <si>
    <t>GMB Only</t>
  </si>
  <si>
    <t>FRID002255</t>
  </si>
  <si>
    <t>V V CARS LTD</t>
  </si>
  <si>
    <t>Veselin Bonchev</t>
  </si>
  <si>
    <t>office@bristoltransfertaxi.co.uk</t>
  </si>
  <si>
    <t>https://bristoltransfertaxi.co.uk/</t>
  </si>
  <si>
    <t>FRID005088</t>
  </si>
  <si>
    <t>ALLENHOUSE - (AKIDS)</t>
  </si>
  <si>
    <t>https://allenkidskakadeo.in/</t>
  </si>
  <si>
    <t>CAMPING GAS LTD</t>
  </si>
  <si>
    <t>Roger Therrien</t>
  </si>
  <si>
    <t>roger@camping-gas.com</t>
  </si>
  <si>
    <t>http://camping-gas.co.uk/</t>
  </si>
  <si>
    <t>£2,000.00</t>
  </si>
  <si>
    <t>FRID005289</t>
  </si>
  <si>
    <t>UK ADMISSION HELP LTD</t>
  </si>
  <si>
    <t>Osama Alssaf</t>
  </si>
  <si>
    <t>admission@ukah.co.uk</t>
  </si>
  <si>
    <t>https://ukah.co.uk/</t>
  </si>
  <si>
    <t>FRID005263</t>
  </si>
  <si>
    <t>AMAZING GARDENERS</t>
  </si>
  <si>
    <t>Landscaping, Gardening &amp; Fencing</t>
  </si>
  <si>
    <t>Mihai</t>
  </si>
  <si>
    <t>officeamazinggardeners@gmail.com</t>
  </si>
  <si>
    <t>https://amazinggardeners.co.uk/</t>
  </si>
  <si>
    <t>FRID005337</t>
  </si>
  <si>
    <t>TILE &amp; GROUT CEILING SERVICES (TOP MODA)</t>
  </si>
  <si>
    <t>ORNATE DÉCOR AND PLANNERS</t>
  </si>
  <si>
    <t>Connie</t>
  </si>
  <si>
    <t>info@ornateplanners.co.uk</t>
  </si>
  <si>
    <t>https://www.ornateplanners.co.uk/</t>
  </si>
  <si>
    <t>FRID001523</t>
  </si>
  <si>
    <t>JT FENCING AND SECURITY</t>
  </si>
  <si>
    <t>James Hannon</t>
  </si>
  <si>
    <t>james@jtfencingandsecurity.co.uk</t>
  </si>
  <si>
    <t>https://jtfencingandsecurity.co.uk/</t>
  </si>
  <si>
    <t>FRID005505</t>
  </si>
  <si>
    <t>Vansh</t>
  </si>
  <si>
    <t>Need to confirm</t>
  </si>
  <si>
    <t>WEBLEY RECORDS</t>
  </si>
  <si>
    <t>£1,300.00</t>
  </si>
  <si>
    <t>CHORUS MUSIC THERAPY AND EDUCTAION</t>
  </si>
  <si>
    <t>Cloris Wong</t>
  </si>
  <si>
    <t>info@chorusmusictherapy.co.uk</t>
  </si>
  <si>
    <t>https://chorusmusictherapy.co.uk/</t>
  </si>
  <si>
    <t>FRID005488</t>
  </si>
  <si>
    <t>£160.00</t>
  </si>
  <si>
    <t>ASH TAXIS LIMITED</t>
  </si>
  <si>
    <t>Asrar Hussian</t>
  </si>
  <si>
    <t>ashtaxi@live.co.uk</t>
  </si>
  <si>
    <t>https://maps.app.goo.gl/y7cyBLjthX2MevB4A</t>
  </si>
  <si>
    <t>FRID004940</t>
  </si>
  <si>
    <t>M 13 CONSTRUCTION LIMITED</t>
  </si>
  <si>
    <t>Nazmi Muka</t>
  </si>
  <si>
    <t>https://m13construction.co.uk/</t>
  </si>
  <si>
    <t>£416.67</t>
  </si>
  <si>
    <t>FRID005011</t>
  </si>
  <si>
    <t>PATRICK SHOES MARKETPLACE</t>
  </si>
  <si>
    <t>https://catesbyshoes.com/</t>
  </si>
  <si>
    <t>FGS HAULAGE LIMITED</t>
  </si>
  <si>
    <t>https://fgshaulage.co.uk/</t>
  </si>
  <si>
    <t>DINNICK &amp; HOWELLS LTD</t>
  </si>
  <si>
    <t>DINNICK &amp; HOWELLS LIMITED</t>
  </si>
  <si>
    <t>Jonathan Howells</t>
  </si>
  <si>
    <t>jonathan@dinnickhowells.com</t>
  </si>
  <si>
    <t>https://dinnickhowells.com/</t>
  </si>
  <si>
    <t>FRID005140</t>
  </si>
  <si>
    <t>OPTIMUM GLOBAL CARE</t>
  </si>
  <si>
    <t>CROWN MOVIE STUDIO LTD</t>
  </si>
  <si>
    <t>Nazar Saeed</t>
  </si>
  <si>
    <t>nazarsaeed@yahoo.com</t>
  </si>
  <si>
    <t>FRID001772</t>
  </si>
  <si>
    <t>Diwas</t>
  </si>
  <si>
    <t>https://finefinishdecorative.co.uk/</t>
  </si>
  <si>
    <t>RR DOUBLE GLAZING</t>
  </si>
  <si>
    <t>http://www.rrdoubleglazingltd.co.uk/</t>
  </si>
  <si>
    <t>£208.33</t>
  </si>
  <si>
    <t>STABILUS SAFETY GMBH</t>
  </si>
  <si>
    <t>https://www.stabilus-safety.de/en/</t>
  </si>
  <si>
    <t>£650.00</t>
  </si>
  <si>
    <t>RRJ CARPENTRY &amp; JOINERY LTD</t>
  </si>
  <si>
    <t>https://rrjcarpentryandjoinery.co.uk/</t>
  </si>
  <si>
    <t>THRIVE HYPNOTHERAPY</t>
  </si>
  <si>
    <t>http://www.thrivehypnotherapy.co.uk/</t>
  </si>
  <si>
    <t>COOL QUEST LTD</t>
  </si>
  <si>
    <t>https://coolquest-letting.com/</t>
  </si>
  <si>
    <t>MAKS TILES</t>
  </si>
  <si>
    <t>£833.33</t>
  </si>
  <si>
    <t>PPC - Google Ads</t>
  </si>
  <si>
    <t>Nomads Clothing Wholesale</t>
  </si>
  <si>
    <t>https://nomadsclothingwholesale.com/</t>
  </si>
  <si>
    <t>SPACE CARS</t>
  </si>
  <si>
    <t>https://www.spaceexecutivecars.co.uk/</t>
  </si>
  <si>
    <t>ADVANCE &amp; VISION DRIVING SCHOOL</t>
  </si>
  <si>
    <t>Mohammad Hoshiyar</t>
  </si>
  <si>
    <t>hoshyir_sarki@hotmail.co.uk</t>
  </si>
  <si>
    <t>FRID006432</t>
  </si>
  <si>
    <t>Raj Mishra</t>
  </si>
  <si>
    <t>241541/241694</t>
  </si>
  <si>
    <t>CORNERSTONE BRICKWORK AND DEVELOPMENT</t>
  </si>
  <si>
    <t>SAM MORTGAGES LTD</t>
  </si>
  <si>
    <t>https://sammortgages.uk/</t>
  </si>
  <si>
    <t>DAN THE KITCHEN MAN</t>
  </si>
  <si>
    <t>https://danthekitchenman.co.uk/</t>
  </si>
  <si>
    <t>FRID006622</t>
  </si>
  <si>
    <t>LONDON BOLLARDS LTD</t>
  </si>
  <si>
    <t>Tony Carmul</t>
  </si>
  <si>
    <t>https://londonbollards.com/</t>
  </si>
  <si>
    <t>FRID004194</t>
  </si>
  <si>
    <t>KPBR BUILDERS</t>
  </si>
  <si>
    <t>Piradeepan Jeya</t>
  </si>
  <si>
    <t>piradeepan007@gmail.com</t>
  </si>
  <si>
    <t>https://kpbrbuilders.co.uk/</t>
  </si>
  <si>
    <t>FRID004235</t>
  </si>
  <si>
    <t>CARDINAL LIMOUSINE SERVICES (US)</t>
  </si>
  <si>
    <t>https://cardinallimo.com/</t>
  </si>
  <si>
    <t>FRID005976</t>
  </si>
  <si>
    <t>Tarang</t>
  </si>
  <si>
    <t>HP Building Services Sussex</t>
  </si>
  <si>
    <t>De'Osa Engineering Services</t>
  </si>
  <si>
    <t>https://www.deosaengineering.co.uk/</t>
  </si>
  <si>
    <t>£350.00</t>
  </si>
  <si>
    <t>FRID006790</t>
  </si>
  <si>
    <t>Know and Grow Tutors</t>
  </si>
  <si>
    <t>http://know-growtutors.com/</t>
  </si>
  <si>
    <t>FRID006404</t>
  </si>
  <si>
    <t>FRID006975</t>
  </si>
  <si>
    <t>Aakash Jain</t>
  </si>
  <si>
    <t>Graphic Design</t>
  </si>
  <si>
    <t>MK Global Consultant</t>
  </si>
  <si>
    <t>Sareena Saif</t>
  </si>
  <si>
    <t>info@mkglobalconsultant.co.uk</t>
  </si>
  <si>
    <t>https://mkglobalconsultant.co.uk/</t>
  </si>
  <si>
    <t>FRID005614</t>
  </si>
  <si>
    <t>N &amp; Sons Roofing</t>
  </si>
  <si>
    <t>https://nandsonsroofing.co.uk/</t>
  </si>
  <si>
    <t>RDK Civil Engineering Limited</t>
  </si>
  <si>
    <t>Ranga Kalupahana</t>
  </si>
  <si>
    <t>ranga@rdkcivils.co.uk</t>
  </si>
  <si>
    <t>https://rdkcivils.co.uk/</t>
  </si>
  <si>
    <t>FRID004516</t>
  </si>
  <si>
    <t>PARADISE TRAVEL &amp; TOURS (LEIC) LTD</t>
  </si>
  <si>
    <t>Travel &amp; Tourism</t>
  </si>
  <si>
    <t>Abdul Razak Ismail</t>
  </si>
  <si>
    <t>raz7862025@gmail.com</t>
  </si>
  <si>
    <t>https://www.paradisetravelandtours.uk/</t>
  </si>
  <si>
    <t>FRID002669</t>
  </si>
  <si>
    <t>Strong Muscle Supplements</t>
  </si>
  <si>
    <t>https://strongmusclesupplements.co.uk/</t>
  </si>
  <si>
    <t>https://boilergastech.co.uk/</t>
  </si>
  <si>
    <t>241595/241672</t>
  </si>
  <si>
    <t>RASHID DRIVING SCHOOL</t>
  </si>
  <si>
    <t>Rashid</t>
  </si>
  <si>
    <t>rmehmood@hotmail.co.uk</t>
  </si>
  <si>
    <t>https://rashiddrivingschool.co.uk/</t>
  </si>
  <si>
    <t>FRID007470</t>
  </si>
  <si>
    <t>SKY TRIPS HOLIDAYS LTD</t>
  </si>
  <si>
    <t>https://www.skytrips.travel/</t>
  </si>
  <si>
    <t>BVA Builders Ltd</t>
  </si>
  <si>
    <t>https://bvabuilders.co.uk/</t>
  </si>
  <si>
    <t>https://juliantaxi.uk/</t>
  </si>
  <si>
    <t>FRID007693</t>
  </si>
  <si>
    <t>Bathrooms London Limited</t>
  </si>
  <si>
    <t>AKS STUDIOS</t>
  </si>
  <si>
    <t>FRID005921</t>
  </si>
  <si>
    <t>AGID VAN</t>
  </si>
  <si>
    <t>Agid Ramo</t>
  </si>
  <si>
    <t>info@agidvan.co.uk</t>
  </si>
  <si>
    <t>https://agidvan.co.uk/</t>
  </si>
  <si>
    <t>£700.00</t>
  </si>
  <si>
    <t>FRID005801</t>
  </si>
  <si>
    <t>241612/241693</t>
  </si>
  <si>
    <t>https://www.mdsspro.com/</t>
  </si>
  <si>
    <t>FRID007486</t>
  </si>
  <si>
    <t>Basheer</t>
  </si>
  <si>
    <t>Pink And Ginger Ltd</t>
  </si>
  <si>
    <t>https://pinkandginger.co.uk/</t>
  </si>
  <si>
    <t>FRID007636</t>
  </si>
  <si>
    <t>SUSTAINABLE PACKAGING SUPPLIES LTD</t>
  </si>
  <si>
    <t>Packaging Supplies</t>
  </si>
  <si>
    <t>Azeem Kaleem</t>
  </si>
  <si>
    <t>akaleem@sustainablepackagingsuppliesltd.co.uk</t>
  </si>
  <si>
    <t>https://pcsuk.co.uk/</t>
  </si>
  <si>
    <t>FRID005517</t>
  </si>
  <si>
    <t>Russell Hewes LTD</t>
  </si>
  <si>
    <t>Russell Kamau Hewes</t>
  </si>
  <si>
    <t>russell@russellhewes.co.uk</t>
  </si>
  <si>
    <t>https://russellhewes.co.uk/</t>
  </si>
  <si>
    <t>FRID007538</t>
  </si>
  <si>
    <t>CHECK &amp; FIX ROOFING LTD</t>
  </si>
  <si>
    <t>New Images Architects Ltd</t>
  </si>
  <si>
    <t>Shahrzad Etemadinazari</t>
  </si>
  <si>
    <t>https://newimagesarchitects.co.uk/</t>
  </si>
  <si>
    <t>FRID006296</t>
  </si>
  <si>
    <t>https://eduquesttwt.com/</t>
  </si>
  <si>
    <t>Online Newspaper</t>
  </si>
  <si>
    <t>Media House &amp; Publications</t>
  </si>
  <si>
    <t>PATRICK SHOES</t>
  </si>
  <si>
    <t>https://patrickshoes.co.uk/</t>
  </si>
  <si>
    <t>Adam’s Painting and Decorating</t>
  </si>
  <si>
    <t>https://decorator-home.co.uk/</t>
  </si>
  <si>
    <t>CTC Pressings - The Cheshire Tool Company</t>
  </si>
  <si>
    <t>J2R</t>
  </si>
  <si>
    <t>J2R Construction</t>
  </si>
  <si>
    <t>£356.00</t>
  </si>
  <si>
    <t>J2R Safety Ltd</t>
  </si>
  <si>
    <t>MOBILE TYRE EXPERTS 24*7</t>
  </si>
  <si>
    <t>Mohammad Azami</t>
  </si>
  <si>
    <t>sazami1990@yahoo.com</t>
  </si>
  <si>
    <t>FRID008253</t>
  </si>
  <si>
    <t>RRJ Carpentry &amp; Joinery Ltd</t>
  </si>
  <si>
    <t>https://rrjdesign.co.uk/</t>
  </si>
  <si>
    <t>GREENBEE LANDSCAPES LIMITED</t>
  </si>
  <si>
    <t>https://greenbee-landscapes.co.uk/</t>
  </si>
  <si>
    <t>Barcode Furniture</t>
  </si>
  <si>
    <t>https://www.barcodefurniture.com/</t>
  </si>
  <si>
    <t>Ehsan Ali</t>
  </si>
  <si>
    <t>ehsan.ali96@hotmail.com</t>
  </si>
  <si>
    <t>https://eadrivingschool.co.uk/</t>
  </si>
  <si>
    <t>FRID007272</t>
  </si>
  <si>
    <t>Educator Hub</t>
  </si>
  <si>
    <t>Nick Jones Language Services</t>
  </si>
  <si>
    <t>https://www.njls.co.uk/</t>
  </si>
  <si>
    <t>Not The Brand</t>
  </si>
  <si>
    <t>https://www.not-thebrand.com/</t>
  </si>
  <si>
    <t>FRID007663</t>
  </si>
  <si>
    <t>Chris</t>
  </si>
  <si>
    <t>HTV Events and Special Effects</t>
  </si>
  <si>
    <t>Event Management</t>
  </si>
  <si>
    <t>Valentin Caius</t>
  </si>
  <si>
    <t>hello@veeduxproduction.co.uk</t>
  </si>
  <si>
    <t>https://veeduxproduction.co.uk/</t>
  </si>
  <si>
    <t>FRID007181</t>
  </si>
  <si>
    <t>Edens Edge Limited</t>
  </si>
  <si>
    <t>https://edensedgegardens.uk/</t>
  </si>
  <si>
    <t>£950.00</t>
  </si>
  <si>
    <t>Advertising &amp; Marketing</t>
  </si>
  <si>
    <t>GRAPHIC DESIGN PRINT</t>
  </si>
  <si>
    <t>Daljeet Soor</t>
  </si>
  <si>
    <t>FRID008956</t>
  </si>
  <si>
    <t>KITCHEN3D LTD</t>
  </si>
  <si>
    <t>https://kitchen3d.co.uk/</t>
  </si>
  <si>
    <t>Nexus Taxis</t>
  </si>
  <si>
    <t>https://www.nexustaxis.com/</t>
  </si>
  <si>
    <t>IDrive -Auto</t>
  </si>
  <si>
    <t>Sam</t>
  </si>
  <si>
    <t>tmsrapid@gmail.com</t>
  </si>
  <si>
    <t>FRID007298</t>
  </si>
  <si>
    <t>Ayton-Smith Construction Ltd</t>
  </si>
  <si>
    <t>Construction &amp; Trades</t>
  </si>
  <si>
    <t>https://www.ayton-smithconstruction.com/</t>
  </si>
  <si>
    <t>Noble Compare Parking</t>
  </si>
  <si>
    <t>Car Park</t>
  </si>
  <si>
    <t>£212.00</t>
  </si>
  <si>
    <t>FRID008779</t>
  </si>
  <si>
    <t>Ace Learning Plus Limited</t>
  </si>
  <si>
    <t>https://acelearningplus.co.uk/</t>
  </si>
  <si>
    <t>FRID009578</t>
  </si>
  <si>
    <t>Jaya</t>
  </si>
  <si>
    <t>QUBE ARCHITECTS LIMITED</t>
  </si>
  <si>
    <t>Silvanos Goyea</t>
  </si>
  <si>
    <t>info@qubearchitect.co.uk</t>
  </si>
  <si>
    <t>https://qubearchitects.uk/</t>
  </si>
  <si>
    <t>£375.00</t>
  </si>
  <si>
    <t>FRID005669</t>
  </si>
  <si>
    <t>Tailor Made Arrangements</t>
  </si>
  <si>
    <t>https://tailor-madearrangements.com/</t>
  </si>
  <si>
    <t>https://footweardepot.co.uk/</t>
  </si>
  <si>
    <t>Kumon Maths &amp; English</t>
  </si>
  <si>
    <t>Kumon Wokingham</t>
  </si>
  <si>
    <t>FRID008063</t>
  </si>
  <si>
    <t>Kumon Ditton &amp; Moseley</t>
  </si>
  <si>
    <t>Kumon Sandhurst</t>
  </si>
  <si>
    <t>ALLENHOUSE - (APS + DPS + AKIDS)</t>
  </si>
  <si>
    <t>£2,500.00</t>
  </si>
  <si>
    <t>CATESBY - Patrick Shoes Ltd</t>
  </si>
  <si>
    <t>HUB OF HOMES</t>
  </si>
  <si>
    <t>https://www.hubofhomes.com/</t>
  </si>
  <si>
    <t>Get A Drip Kingston</t>
  </si>
  <si>
    <t>FRID009972</t>
  </si>
  <si>
    <t>Anshay Anand</t>
  </si>
  <si>
    <t>IZEC PRESTIGE CARS LTD</t>
  </si>
  <si>
    <t>https://www.izecprestige.co.uk/</t>
  </si>
  <si>
    <t>Wordpress - Addon Pages</t>
  </si>
  <si>
    <t>Obisonic Digital Photography</t>
  </si>
  <si>
    <t>Emannuel Okolo</t>
  </si>
  <si>
    <t>obisonic@gmail.com</t>
  </si>
  <si>
    <t>FRID005623</t>
  </si>
  <si>
    <t>Kumon Reading Earley</t>
  </si>
  <si>
    <t>Damo Baliga</t>
  </si>
  <si>
    <t>wokingham@kumoncentre.co.uk</t>
  </si>
  <si>
    <t>Corby Motors Limited</t>
  </si>
  <si>
    <t>CORBY MOTORS LIMITED</t>
  </si>
  <si>
    <t>Arunan Arulanantham</t>
  </si>
  <si>
    <t>https://corbymotors.com/</t>
  </si>
  <si>
    <t>FRID009398</t>
  </si>
  <si>
    <t>Dewang</t>
  </si>
  <si>
    <t>TIE PRESTIGE CARS LTD</t>
  </si>
  <si>
    <t>Adil Khalil</t>
  </si>
  <si>
    <t>info@tieprestige.co.uk</t>
  </si>
  <si>
    <t>https://www.tieprestige.co.uk/</t>
  </si>
  <si>
    <t>14/02/0226</t>
  </si>
  <si>
    <t>FRID010369</t>
  </si>
  <si>
    <t>Prince Akoto Ansah</t>
  </si>
  <si>
    <t>akoto19@icloud.com</t>
  </si>
  <si>
    <t>https://www.janssolutions.co.uk/</t>
  </si>
  <si>
    <t>FRID009645</t>
  </si>
  <si>
    <t>Raghbeer</t>
  </si>
  <si>
    <t>r_b_d@hotmail.co.uk</t>
  </si>
  <si>
    <t>https://rbddrivingschool.co.uk/</t>
  </si>
  <si>
    <t>FRID009735</t>
  </si>
  <si>
    <t>Ramesh</t>
  </si>
  <si>
    <t>Greta Marc</t>
  </si>
  <si>
    <t>drivewithgreta@gmail.com</t>
  </si>
  <si>
    <t>https://drivewithgreta.co.uk/</t>
  </si>
  <si>
    <t>FRID010461</t>
  </si>
  <si>
    <t>Neha</t>
  </si>
  <si>
    <t>ABA CLEANING SERVICES LTD</t>
  </si>
  <si>
    <t>Ali Ahmed</t>
  </si>
  <si>
    <t>aabolly71@yahoo.com</t>
  </si>
  <si>
    <t>FRID006639</t>
  </si>
  <si>
    <t>Matthew Elegbede</t>
  </si>
  <si>
    <t>FRID010498</t>
  </si>
  <si>
    <t>Pranjal Dubey</t>
  </si>
  <si>
    <t>Kumon Wockingham (DAMO)</t>
  </si>
  <si>
    <t>PPC - GOOGLE</t>
  </si>
  <si>
    <t>Creativa Ltd</t>
  </si>
  <si>
    <t>Galloway Wasp Control</t>
  </si>
  <si>
    <t>Pest Control</t>
  </si>
  <si>
    <t>Mark Galloway</t>
  </si>
  <si>
    <t>info@gallowaypestcontrol.co.uk</t>
  </si>
  <si>
    <t>https://www.kentwaspcontrol.co.uk/</t>
  </si>
  <si>
    <t>FRID010453</t>
  </si>
  <si>
    <t>Sajjad</t>
  </si>
  <si>
    <t>Pigeon Protection for Solar Panels</t>
  </si>
  <si>
    <t>https://www.solarpanelbirdproofingkent.co.uk/</t>
  </si>
  <si>
    <t>Authentic Education &amp; Training Ltd</t>
  </si>
  <si>
    <t>Authentic Education &amp; Training Limited</t>
  </si>
  <si>
    <t>James John Whittle</t>
  </si>
  <si>
    <t>john@authentictraining.co.uk</t>
  </si>
  <si>
    <t>https://authentictraining.co.uk/</t>
  </si>
  <si>
    <t>FRID008296</t>
  </si>
  <si>
    <t>Allan Danny Sholem</t>
  </si>
  <si>
    <t>1wrjdc@gmail.com</t>
  </si>
  <si>
    <t>https://www.jewellerydesigncentre.co.uk/</t>
  </si>
  <si>
    <t>FRID011045</t>
  </si>
  <si>
    <t>Raunak Miglani</t>
  </si>
  <si>
    <t>Big Idea Services Ltd T/A Charge Products</t>
  </si>
  <si>
    <t>Mark James Payne</t>
  </si>
  <si>
    <t>chargeproducts@hotmail.com</t>
  </si>
  <si>
    <t>https://chargeproducts.co.uk/</t>
  </si>
  <si>
    <t>PPC - Meta Ads</t>
  </si>
  <si>
    <t>FRID011026</t>
  </si>
  <si>
    <t>Mahir</t>
  </si>
  <si>
    <t>One-off &amp; Monthly</t>
  </si>
  <si>
    <t>Both</t>
  </si>
  <si>
    <t>APS Landing Page</t>
  </si>
  <si>
    <t>Patrick Shoes Ltd</t>
  </si>
  <si>
    <t>Elite Learning Epsom Ltd</t>
  </si>
  <si>
    <t>Anelle Du Plooy</t>
  </si>
  <si>
    <t>ashford@firstclasslearning.co.uk</t>
  </si>
  <si>
    <t>Surge Productions Ltd</t>
  </si>
  <si>
    <t>Boluwatife Oalwayo</t>
  </si>
  <si>
    <t>info.surgeproduction@gmail.com</t>
  </si>
  <si>
    <t>Reading Properties Group Ltd</t>
  </si>
  <si>
    <t>Andrei Varban</t>
  </si>
  <si>
    <t>varban.properties@gmail.com</t>
  </si>
  <si>
    <t>£3,500.00</t>
  </si>
  <si>
    <t>APS CMS Migration</t>
  </si>
  <si>
    <t>£860.00</t>
  </si>
  <si>
    <t>Spot Cleaners Ltd</t>
  </si>
  <si>
    <t>Onboarding Date</t>
  </si>
  <si>
    <t>31st Aug,2026</t>
  </si>
  <si>
    <t>19th Aug,2026</t>
  </si>
  <si>
    <t>5th Aug,2026</t>
  </si>
  <si>
    <t>31st July,2026</t>
  </si>
  <si>
    <t>29th July,2026</t>
  </si>
  <si>
    <t>17th July,2026</t>
  </si>
  <si>
    <t>BackedOff</t>
  </si>
  <si>
    <t>Sofiya Designs Acedemy Ltd</t>
  </si>
  <si>
    <t>02nd Sep,2026</t>
  </si>
  <si>
    <t>Altai Mountain</t>
  </si>
  <si>
    <t>14th Sep,2026</t>
  </si>
  <si>
    <t>£360.00</t>
  </si>
  <si>
    <t>Max Out Tutoring</t>
  </si>
  <si>
    <t>15th Sep,2026</t>
  </si>
  <si>
    <t>Shivam Backend Dev</t>
  </si>
  <si>
    <t xml:space="preserve">Sparta Telecom - Data Management System [ DMA ] </t>
  </si>
  <si>
    <t xml:space="preserve"> SEO Audit Tool — Real-Time Audit &amp; AI Business Suggestions</t>
  </si>
  <si>
    <t xml:space="preserve"> AI-Agent — TalkTalk Line Classification</t>
  </si>
  <si>
    <t xml:space="preserve"> AI-Agent — Ameyo Voice Log Downloader</t>
  </si>
  <si>
    <t xml:space="preserve"> VeeRepairs CRM — ETE Quality Automation</t>
  </si>
  <si>
    <t xml:space="preserve"> AI Automation — Ameyo Call Details Report Downloader </t>
  </si>
  <si>
    <t xml:space="preserve"> AI Agent - Call History Downloader — Ameyo | DMA Phase 3 </t>
  </si>
  <si>
    <t xml:space="preserve"> FastRanking &amp; VeeRepairs || QAAI — AI-Powered Quality Automation</t>
  </si>
  <si>
    <t xml:space="preserve"> Hot Lead Automation | B2B Lead Generation</t>
  </si>
  <si>
    <t xml:space="preserve"> HR - Sparta Recruit | AI-Powered Recruitment System</t>
  </si>
  <si>
    <t>Digital Marketing Hub | SEO Performance &amp; Intelligence Platform</t>
  </si>
  <si>
    <t xml:space="preserve">     Backlink Checker Tool | Automated SEO Verification</t>
  </si>
  <si>
    <t xml:space="preserve">     Keyword Indexing Tool | Automated Rank Checking</t>
  </si>
  <si>
    <t xml:space="preserve">     Content Writing AI-Powered SEO Content Automation</t>
  </si>
  <si>
    <t xml:space="preserve">     Management Task </t>
  </si>
  <si>
    <t>Sparta Tel | QAAI</t>
  </si>
  <si>
    <t xml:space="preserve"> BOT — Answering Machine Calling</t>
  </si>
  <si>
    <t>QA-SAAS Platform | AI-Powered Quality Assurance</t>
  </si>
  <si>
    <t>Req. Not Cleared</t>
  </si>
  <si>
    <t>Row Labels</t>
  </si>
  <si>
    <t>Grand Total</t>
  </si>
  <si>
    <t>Project Type</t>
  </si>
  <si>
    <t>Old</t>
  </si>
  <si>
    <t>Collected Amount</t>
  </si>
  <si>
    <t>Amount Pending</t>
  </si>
  <si>
    <t>GreySon Studios</t>
  </si>
  <si>
    <t>Backoff</t>
  </si>
  <si>
    <t>Invoice Value</t>
  </si>
  <si>
    <t>Project Management Dashboard</t>
  </si>
  <si>
    <t>Total Projects</t>
  </si>
  <si>
    <t>New Projects</t>
  </si>
  <si>
    <t>Old Projects</t>
  </si>
  <si>
    <t>Total Cost</t>
  </si>
  <si>
    <t>Collected</t>
  </si>
  <si>
    <t>Pending</t>
  </si>
  <si>
    <t>Collection %</t>
  </si>
  <si>
    <t>Optimum Global link Landing Page</t>
  </si>
  <si>
    <t>21th Sep, 2026</t>
  </si>
  <si>
    <t>£120.00</t>
  </si>
  <si>
    <t>Ready to go live</t>
  </si>
  <si>
    <t>UAT-SignOff Pending</t>
  </si>
  <si>
    <t>8th Oct,2026</t>
  </si>
  <si>
    <t>9th Oct,2026</t>
  </si>
  <si>
    <t>26th Sep,2026</t>
  </si>
  <si>
    <t>3rd Aug,2026</t>
  </si>
  <si>
    <t>27th July,2026</t>
  </si>
  <si>
    <t>29th Sep,2026</t>
  </si>
  <si>
    <t>17th Sep,2026</t>
  </si>
  <si>
    <t>16th June,2026</t>
  </si>
  <si>
    <t>Not Keeping Track of the Invoices. Discussed with Accounts.&amp; Reporting Manager</t>
  </si>
  <si>
    <t>Client not responding , Demo Submitted</t>
  </si>
  <si>
    <t>In Progress , 80%</t>
  </si>
  <si>
    <t>Party Supplys Ltd</t>
  </si>
  <si>
    <t>To-Do</t>
  </si>
  <si>
    <t>28th Sep,2026</t>
  </si>
  <si>
    <t>Burton Driving School</t>
  </si>
  <si>
    <t>29th Sep, 2026</t>
  </si>
  <si>
    <t>Stabilus Safety GmbH</t>
  </si>
  <si>
    <t>27th July, 2025</t>
  </si>
  <si>
    <t>New CR - Product Upload</t>
  </si>
  <si>
    <t>#</t>
  </si>
  <si>
    <t>Project / Area</t>
  </si>
  <si>
    <t>Key Achievement</t>
  </si>
  <si>
    <t>Delivered a stable release of the Sparta CRM with improved reliability and smooth operations.</t>
  </si>
  <si>
    <t>Developed and implemented the Sprint Module to enhance project and sprint management.</t>
  </si>
  <si>
    <t>Developed the next-generation Vee Repairs website with a modern and improved architecture.</t>
  </si>
  <si>
    <t>Superhouse Education Foundation</t>
  </si>
  <si>
    <t>Supported agents with client questionnaires and quick onboarding questions to streamline the client onboarding process.</t>
  </si>
  <si>
    <t>Sparta CRM</t>
  </si>
  <si>
    <t>In-house Project</t>
  </si>
  <si>
    <t>Workgrid Enhancement</t>
  </si>
  <si>
    <t>Sharooq’s Project, NWT, Nomads, Briggs, Footwear, Catesby, etc.</t>
  </si>
  <si>
    <t>Client Project</t>
  </si>
  <si>
    <t>FastRanking Website</t>
  </si>
  <si>
    <t>Vee Repairs Website</t>
  </si>
  <si>
    <t>Rabia, Sofiya, Jeleel, etc.</t>
  </si>
  <si>
    <t>Client Retention &amp; Payment Recovery</t>
  </si>
  <si>
    <t>Sprint Retrospective &amp; Project Management Tools</t>
  </si>
  <si>
    <t>Client Onboarding Support</t>
  </si>
  <si>
    <t>Ensured project stability and smooth deliveries with proper CR tracking, documentation, and timely implementation.</t>
  </si>
  <si>
    <t>Successfully developed the next-generation FastRanking website with a modern and improved solution.</t>
  </si>
  <si>
    <t>Delivered client projects on time and maintained strong client satisfaction, reflected through 5-star Google reviews and positive feedback.</t>
  </si>
  <si>
    <t>Successfully retained 6 previously pending clients, strengthened relationships, delivered requirements on time, and recovered outstanding payments.</t>
  </si>
  <si>
    <t>Created a Sprint Retrospective tool for management reporting and contributed to developing a next-generation project management tool for detailed project, employee, and sprint tracking.</t>
  </si>
  <si>
    <r>
      <t xml:space="preserve">Successfully recovered the pending </t>
    </r>
    <r>
      <rPr>
        <b/>
        <sz val="11"/>
        <rFont val="Calibri"/>
      </rPr>
      <t>£1,000 AMC payment</t>
    </r>
    <r>
      <rPr>
        <sz val="11"/>
        <rFont val="Calibri"/>
      </rPr>
      <t xml:space="preserve"> that had been outstanding for 2 months.</t>
    </r>
  </si>
  <si>
    <t>Assigned</t>
  </si>
  <si>
    <t>Connect Driving School Ltd</t>
  </si>
  <si>
    <t>06th Oct, 2026</t>
  </si>
  <si>
    <t>Not Assigned</t>
  </si>
  <si>
    <t>Boiler Gas Tech Limited</t>
  </si>
  <si>
    <t>07th Oct, 2026</t>
  </si>
  <si>
    <t>£333.00</t>
  </si>
  <si>
    <t>Varsity Music</t>
  </si>
  <si>
    <t>13th March, 2025</t>
  </si>
  <si>
    <t>Client not responding , Site is ready</t>
  </si>
  <si>
    <t>RPG Done, RDS : 80% &amp; RF : 50%</t>
  </si>
  <si>
    <t>Content Pending from Client End</t>
  </si>
  <si>
    <t>Testing is in progress</t>
  </si>
  <si>
    <t>Review pending from Client end.</t>
  </si>
  <si>
    <t>Bug resolution</t>
  </si>
  <si>
    <t>Demo review pending from Client end</t>
  </si>
  <si>
    <t>UK Admission Manchester</t>
  </si>
  <si>
    <t>21st Oct, 2026</t>
  </si>
  <si>
    <t>£240.00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</si>
</sst>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8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22"/>
      <name val="Calibri"/>
      <family val="2"/>
    </font>
    <font>
      <u/>
      <sz val="11"/>
      <color theme="10"/>
      <name val="Calibri"/>
      <family val="2"/>
    </font>
    <font>
      <sz val="11"/>
      <color rgb="FFFF0000"/>
      <name val="Calibri"/>
      <family val="2"/>
    </font>
    <font>
      <sz val="12"/>
      <name val="Calibri"/>
      <family val="2"/>
    </font>
    <font>
      <b/>
      <sz val="11"/>
      <color rgb="FFFF0000"/>
      <name val="Calibri"/>
      <family val="2"/>
    </font>
    <font>
      <b/>
      <sz val="11"/>
      <color rgb="FF92D050"/>
      <name val="Calibri"/>
      <family val="2"/>
    </font>
    <font>
      <b/>
      <sz val="11"/>
      <color rgb="FFFFC000"/>
      <name val="Calibri"/>
      <family val="2"/>
    </font>
    <font>
      <b/>
      <sz val="12"/>
      <name val="Calibri"/>
      <family val="2"/>
    </font>
    <font>
      <sz val="11"/>
      <name val="Nunito"/>
    </font>
    <font>
      <b/>
      <sz val="10"/>
      <name val="Open Sans"/>
    </font>
    <font>
      <sz val="10"/>
      <name val="Arial"/>
      <family val="2"/>
    </font>
    <font>
      <sz val="10"/>
      <name val="Calibri"/>
      <family val="2"/>
    </font>
    <font>
      <sz val="12"/>
      <name val="Nunito"/>
    </font>
    <font>
      <b/>
      <sz val="11"/>
      <name val="Font Awesome 6 Free"/>
    </font>
    <font>
      <b/>
      <sz val="11"/>
      <color rgb="FF3F3F3F"/>
      <name val="Calibri"/>
      <family val="2"/>
      <scheme val="minor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10"/>
      <color rgb="FF7030A0"/>
      <name val="Calibri"/>
      <family val="2"/>
    </font>
    <font>
      <b/>
      <sz val="10"/>
      <color rgb="FFFFC000"/>
      <name val="Calibri"/>
      <family val="2"/>
    </font>
    <font>
      <b/>
      <sz val="10"/>
      <color rgb="FF00B0F0"/>
      <name val="Calibri"/>
      <family val="2"/>
    </font>
    <font>
      <b/>
      <sz val="11"/>
      <color rgb="FF00B0F0"/>
      <name val="Calibri"/>
      <family val="2"/>
    </font>
    <font>
      <b/>
      <sz val="16"/>
      <color rgb="FFFFFFFF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595959"/>
      </patternFill>
    </fill>
    <fill>
      <patternFill patternType="solid">
        <fgColor rgb="FFF7F7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7" fillId="11" borderId="8" applyNumberFormat="0" applyAlignment="0" applyProtection="0"/>
  </cellStyleXfs>
  <cellXfs count="84">
    <xf numFmtId="0" fontId="0" fillId="0" borderId="0" xfId="0" applyFont="1" applyFill="1" applyBorder="1"/>
    <xf numFmtId="1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164" fontId="0" fillId="0" borderId="1" xfId="0" applyNumberFormat="1" applyFont="1" applyFill="1" applyBorder="1" applyAlignment="1">
      <alignment horizontal="center"/>
    </xf>
    <xf numFmtId="1" fontId="0" fillId="0" borderId="0" xfId="0" applyNumberFormat="1" applyFont="1" applyFill="1" applyBorder="1"/>
    <xf numFmtId="15" fontId="0" fillId="0" borderId="1" xfId="0" applyNumberFormat="1" applyFont="1" applyFill="1" applyBorder="1" applyAlignment="1">
      <alignment horizontal="center"/>
    </xf>
    <xf numFmtId="0" fontId="1" fillId="0" borderId="0" xfId="0" applyFont="1" applyFill="1" applyBorder="1"/>
    <xf numFmtId="0" fontId="0" fillId="0" borderId="1" xfId="0" pivotButton="1" applyFont="1" applyFill="1" applyBorder="1"/>
    <xf numFmtId="0" fontId="0" fillId="0" borderId="1" xfId="0" applyFont="1" applyFill="1" applyBorder="1"/>
    <xf numFmtId="0" fontId="0" fillId="0" borderId="1" xfId="0" applyNumberFormat="1" applyFont="1" applyFill="1" applyBorder="1"/>
    <xf numFmtId="0" fontId="0" fillId="0" borderId="0" xfId="0" pivotButton="1" applyFont="1" applyFill="1" applyBorder="1"/>
    <xf numFmtId="0" fontId="0" fillId="0" borderId="0" xfId="0" applyNumberFormat="1" applyFont="1" applyFill="1" applyBorder="1"/>
    <xf numFmtId="0" fontId="1" fillId="7" borderId="1" xfId="0" applyFont="1" applyFill="1" applyBorder="1" applyAlignment="1">
      <alignment horizontal="center"/>
    </xf>
    <xf numFmtId="0" fontId="4" fillId="0" borderId="1" xfId="1" applyFill="1" applyBorder="1" applyAlignment="1">
      <alignment horizontal="center"/>
    </xf>
    <xf numFmtId="0" fontId="4" fillId="0" borderId="1" xfId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0" fillId="0" borderId="5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14" fontId="6" fillId="0" borderId="5" xfId="0" applyNumberFormat="1" applyFont="1" applyFill="1" applyBorder="1" applyAlignment="1">
      <alignment vertical="center"/>
    </xf>
    <xf numFmtId="0" fontId="4" fillId="0" borderId="5" xfId="1" applyFill="1" applyBorder="1" applyAlignment="1">
      <alignment vertical="center"/>
    </xf>
    <xf numFmtId="0" fontId="11" fillId="0" borderId="5" xfId="0" applyFont="1" applyFill="1" applyBorder="1" applyAlignment="1">
      <alignment vertical="center"/>
    </xf>
    <xf numFmtId="0" fontId="12" fillId="0" borderId="5" xfId="0" applyFont="1" applyFill="1" applyBorder="1" applyAlignment="1">
      <alignment vertical="center"/>
    </xf>
    <xf numFmtId="0" fontId="13" fillId="0" borderId="5" xfId="0" applyFont="1" applyFill="1" applyBorder="1" applyAlignment="1">
      <alignment vertical="center"/>
    </xf>
    <xf numFmtId="0" fontId="14" fillId="0" borderId="5" xfId="0" applyFont="1" applyFill="1" applyBorder="1" applyAlignment="1">
      <alignment vertical="center"/>
    </xf>
    <xf numFmtId="0" fontId="15" fillId="0" borderId="5" xfId="0" applyFont="1" applyFill="1" applyBorder="1" applyAlignment="1">
      <alignment vertical="center"/>
    </xf>
    <xf numFmtId="0" fontId="16" fillId="0" borderId="5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9" fillId="0" borderId="1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21" fillId="10" borderId="1" xfId="0" applyFont="1" applyFill="1" applyBorder="1" applyAlignment="1">
      <alignment horizontal="center"/>
    </xf>
    <xf numFmtId="0" fontId="22" fillId="10" borderId="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 indent="1"/>
    </xf>
    <xf numFmtId="0" fontId="23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0" fillId="0" borderId="0" xfId="0"/>
    <xf numFmtId="0" fontId="17" fillId="11" borderId="8" xfId="2" applyAlignment="1">
      <alignment horizontal="center" vertical="center" wrapText="1"/>
    </xf>
    <xf numFmtId="0" fontId="17" fillId="11" borderId="8" xfId="2"/>
    <xf numFmtId="0" fontId="17" fillId="11" borderId="9" xfId="2" applyBorder="1" applyAlignment="1">
      <alignment horizontal="center" vertical="center" wrapText="1"/>
    </xf>
    <xf numFmtId="0" fontId="17" fillId="11" borderId="1" xfId="2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25" fillId="11" borderId="8" xfId="2" applyFont="1" applyAlignment="1">
      <alignment horizontal="center" vertical="center" wrapText="1"/>
    </xf>
    <xf numFmtId="0" fontId="25" fillId="11" borderId="9" xfId="2" applyFont="1" applyBorder="1" applyAlignment="1">
      <alignment horizontal="center" vertical="center" wrapText="1"/>
    </xf>
    <xf numFmtId="0" fontId="25" fillId="11" borderId="1" xfId="2" applyFont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/>
    </xf>
    <xf numFmtId="0" fontId="26" fillId="10" borderId="1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26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24" fillId="1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0" borderId="6" xfId="0" applyFont="1" applyFill="1" applyBorder="1" applyAlignment="1">
      <alignment vertical="center"/>
    </xf>
    <xf numFmtId="0" fontId="6" fillId="0" borderId="7" xfId="0" applyFont="1" applyFill="1" applyBorder="1" applyAlignment="1">
      <alignment vertical="center"/>
    </xf>
  </cellXfs>
  <cellStyles count="3">
    <cellStyle name="Hyperlink" xfId="1" builtinId="8"/>
    <cellStyle name="Normal" xfId="0" builtinId="0"/>
    <cellStyle name="Output" xfId="2" builtinId="21"/>
  </cellStyles>
  <dxfs count="2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Medium4"/>
  <colors>
    <mruColors>
      <color rgb="FFF33E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Count of Project / Area by Project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Client Project</c:v>
              </c:pt>
              <c:pt idx="1">
                <c:v>In-house Project</c:v>
              </c:pt>
            </c:strLit>
          </c:cat>
          <c:val>
            <c:numLit>
              <c:formatCode>General</c:formatCode>
              <c:ptCount val="2"/>
              <c:pt idx="0">
                <c:v>5</c:v>
              </c:pt>
              <c:pt idx="1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4AD1-4EBE-9A37-47F3F439A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05071"/>
        <c:axId val="8007151"/>
      </c:barChart>
      <c:catAx>
        <c:axId val="8005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7151"/>
        <c:crosses val="autoZero"/>
        <c:auto val="1"/>
        <c:lblAlgn val="ctr"/>
        <c:lblOffset val="100"/>
        <c:noMultiLvlLbl val="0"/>
      </c:catAx>
      <c:valAx>
        <c:axId val="800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_xlchart.0</cx:f>
      </cx:strDim>
      <cx:numDim type="size">
        <cx:f dir="row">_xlchart.1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IN" sz="1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Project Status</a:t>
            </a:r>
            <a:endParaRPr lang="en-IN" b="1"/>
          </a:p>
        </cx:rich>
      </cx:tx>
    </cx:title>
    <cx:plotArea>
      <cx:plotAreaRegion>
        <cx:series layoutId="sunburst" uniqueId="{1A4DC41F-766F-4A25-8F8D-21B9C9C1CD48}">
          <cx:dataId val="0"/>
        </cx:series>
      </cx:plotAreaRegion>
    </cx:plotArea>
  </cx:chart>
</cx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New</a:t>
            </a:r>
            <a:r>
              <a:rPr lang="en-IN" b="1" baseline="0"/>
              <a:t> VS Old Projects</a:t>
            </a:r>
            <a:endParaRPr lang="en-IN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'New Projects_July'!$D$3:$F$3</c15:sqref>
                  </c15:fullRef>
                </c:ext>
              </c:extLst>
              <c:f>('New Projects_July'!$D$3,'New Projects_July'!$F$3)</c:f>
              <c:strCache>
                <c:ptCount val="2"/>
                <c:pt idx="0">
                  <c:v>New Projects</c:v>
                </c:pt>
                <c:pt idx="1">
                  <c:v>Old Projects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'New Projects_July'!$D$4:$F$4</c15:sqref>
                  </c15:fullRef>
                </c:ext>
              </c:extLst>
              <c:f>('New Projects_July'!$D$4,'New Projects_July'!$F$4)</c:f>
              <c:numCache>
                <c:formatCode>General</c:formatCode>
                <c:ptCount val="2"/>
                <c:pt idx="0">
                  <c:v>21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3-4E2D-8D70-B1533206D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787648"/>
        <c:axId val="357783488"/>
      </c:barChart>
      <c:catAx>
        <c:axId val="35778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783488"/>
        <c:crosses val="autoZero"/>
        <c:auto val="1"/>
        <c:lblAlgn val="ctr"/>
        <c:lblOffset val="100"/>
        <c:noMultiLvlLbl val="0"/>
      </c:catAx>
      <c:valAx>
        <c:axId val="35778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78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Invoice</a:t>
            </a:r>
            <a:r>
              <a:rPr lang="en-IN" b="1" baseline="0"/>
              <a:t> Details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18-45F0-BB85-390AF6146E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18-45F0-BB85-390AF6146E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18-45F0-BB85-390AF6146E7A}"/>
              </c:ext>
            </c:extLst>
          </c:dPt>
          <c:cat>
            <c:strRef>
              <c:f>'New Projects_July'!$D$5:$F$5</c:f>
              <c:strCache>
                <c:ptCount val="3"/>
                <c:pt idx="0">
                  <c:v>Total Cost</c:v>
                </c:pt>
                <c:pt idx="2">
                  <c:v>Invoice Value</c:v>
                </c:pt>
              </c:strCache>
            </c:strRef>
          </c:cat>
          <c:val>
            <c:numRef>
              <c:f>'New Projects_July'!$D$6:$F$6</c:f>
              <c:numCache>
                <c:formatCode>General</c:formatCode>
                <c:ptCount val="3"/>
                <c:pt idx="0">
                  <c:v>14214.33</c:v>
                </c:pt>
                <c:pt idx="2">
                  <c:v>16124.8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A-4988-87DD-81E8DD8CC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[Project_Report.xlsx]Sheet2!PivotTable13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AI Projects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Sheet2!$A$2:$A$38</c:f>
              <c:multiLvlStrCache>
                <c:ptCount val="18"/>
                <c:lvl>
                  <c:pt idx="0">
                    <c:v>UAT</c:v>
                  </c:pt>
                  <c:pt idx="1">
                    <c:v>UAT</c:v>
                  </c:pt>
                  <c:pt idx="2">
                    <c:v>UAT</c:v>
                  </c:pt>
                  <c:pt idx="3">
                    <c:v>UAT</c:v>
                  </c:pt>
                  <c:pt idx="4">
                    <c:v>In Progress</c:v>
                  </c:pt>
                  <c:pt idx="5">
                    <c:v>In Progress</c:v>
                  </c:pt>
                  <c:pt idx="6">
                    <c:v>In Progress</c:v>
                  </c:pt>
                  <c:pt idx="7">
                    <c:v>In Progress</c:v>
                  </c:pt>
                  <c:pt idx="8">
                    <c:v>TBD</c:v>
                  </c:pt>
                  <c:pt idx="9">
                    <c:v>In Progress</c:v>
                  </c:pt>
                  <c:pt idx="10">
                    <c:v>In Progress</c:v>
                  </c:pt>
                  <c:pt idx="11">
                    <c:v>In Progress</c:v>
                  </c:pt>
                  <c:pt idx="12">
                    <c:v>In Progress</c:v>
                  </c:pt>
                  <c:pt idx="13">
                    <c:v>In Progress</c:v>
                  </c:pt>
                  <c:pt idx="14">
                    <c:v>UAT</c:v>
                  </c:pt>
                  <c:pt idx="15">
                    <c:v>TBD</c:v>
                  </c:pt>
                  <c:pt idx="16">
                    <c:v>Req. Not Cleared</c:v>
                  </c:pt>
                  <c:pt idx="17">
                    <c:v>In Progress</c:v>
                  </c:pt>
                </c:lvl>
                <c:lvl>
                  <c:pt idx="0">
                    <c:v>     Backlink Checker Tool | Automated SEO Verification</c:v>
                  </c:pt>
                  <c:pt idx="1">
                    <c:v>     Content Writing AI-Powered SEO Content Automation</c:v>
                  </c:pt>
                  <c:pt idx="2">
                    <c:v>     Keyword Indexing Tool | Automated Rank Checking</c:v>
                  </c:pt>
                  <c:pt idx="3">
                    <c:v>     Management Task </c:v>
                  </c:pt>
                  <c:pt idx="4">
                    <c:v> AI Agent - Call History Downloader — Ameyo | DMA Phase 3 </c:v>
                  </c:pt>
                  <c:pt idx="5">
                    <c:v> AI Automation — Ameyo Call Details Report Downloader </c:v>
                  </c:pt>
                  <c:pt idx="6">
                    <c:v> AI-Agent — Ameyo Voice Log Downloader</c:v>
                  </c:pt>
                  <c:pt idx="7">
                    <c:v> AI-Agent — TalkTalk Line Classification</c:v>
                  </c:pt>
                  <c:pt idx="8">
                    <c:v> BOT — Answering Machine Calling</c:v>
                  </c:pt>
                  <c:pt idx="9">
                    <c:v> FastRanking &amp; VeeRepairs || QAAI — AI-Powered Quality Automation</c:v>
                  </c:pt>
                  <c:pt idx="10">
                    <c:v> Hot Lead Automation | B2B Lead Generation</c:v>
                  </c:pt>
                  <c:pt idx="11">
                    <c:v> HR - Sparta Recruit | AI-Powered Recruitment System</c:v>
                  </c:pt>
                  <c:pt idx="12">
                    <c:v> SEO Audit Tool — Real-Time Audit &amp; AI Business Suggestions</c:v>
                  </c:pt>
                  <c:pt idx="13">
                    <c:v> VeeRepairs CRM — ETE Quality Automation</c:v>
                  </c:pt>
                  <c:pt idx="14">
                    <c:v>Digital Marketing Hub | SEO Performance &amp; Intelligence Platform</c:v>
                  </c:pt>
                  <c:pt idx="15">
                    <c:v>QA-SAAS Platform | AI-Powered Quality Assurance</c:v>
                  </c:pt>
                  <c:pt idx="16">
                    <c:v>Sparta Tel | QAAI</c:v>
                  </c:pt>
                  <c:pt idx="17">
                    <c:v>Sparta Telecom - Data Management System [ DMA ] </c:v>
                  </c:pt>
                </c:lvl>
              </c:multiLvlStrCache>
            </c:multiLvlStrRef>
          </c:cat>
          <c:val>
            <c:numRef>
              <c:f>Sheet2!$B$2:$B$38</c:f>
              <c:numCache>
                <c:formatCode>General</c:formatCode>
                <c:ptCount val="18"/>
                <c:pt idx="0">
                  <c:v>13</c:v>
                </c:pt>
                <c:pt idx="1">
                  <c:v>15</c:v>
                </c:pt>
                <c:pt idx="2">
                  <c:v>14</c:v>
                </c:pt>
                <c:pt idx="3">
                  <c:v>16.373626373626301</c:v>
                </c:pt>
                <c:pt idx="4">
                  <c:v>8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18.549450549450501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2</c:v>
                </c:pt>
                <c:pt idx="13">
                  <c:v>6</c:v>
                </c:pt>
                <c:pt idx="14">
                  <c:v>12</c:v>
                </c:pt>
                <c:pt idx="15">
                  <c:v>19.6373626373626</c:v>
                </c:pt>
                <c:pt idx="16">
                  <c:v>17.4615384615384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F-496D-A9C3-BF92B1E86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574656"/>
        <c:axId val="353581312"/>
      </c:lineChart>
      <c:catAx>
        <c:axId val="35357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581312"/>
        <c:crosses val="autoZero"/>
        <c:auto val="1"/>
        <c:lblAlgn val="ctr"/>
        <c:lblOffset val="100"/>
        <c:noMultiLvlLbl val="0"/>
      </c:catAx>
      <c:valAx>
        <c:axId val="35358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57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[Project_Report.xlsx]ProjectDash!PivotTable11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baseline="0">
                <a:effectLst/>
              </a:rPr>
              <a:t>PROJECT CATEGORIES</a:t>
            </a:r>
            <a:endParaRPr lang="en-IN">
              <a:effectLst/>
            </a:endParaRPr>
          </a:p>
        </c:rich>
      </c:tx>
      <c:layout>
        <c:manualLayout>
          <c:xMode val="edge"/>
          <c:yMode val="edge"/>
          <c:x val="0.67007930304793073"/>
          <c:y val="4.26844255725394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ProjectDash!$B$25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ProjectDash!$A$26:$A$29</c:f>
              <c:strCache>
                <c:ptCount val="4"/>
                <c:pt idx="0">
                  <c:v>Custom</c:v>
                </c:pt>
                <c:pt idx="1">
                  <c:v>Inhouse</c:v>
                </c:pt>
                <c:pt idx="2">
                  <c:v>Shopify</c:v>
                </c:pt>
                <c:pt idx="3">
                  <c:v>Wordpress</c:v>
                </c:pt>
              </c:strCache>
            </c:strRef>
          </c:cat>
          <c:val>
            <c:numRef>
              <c:f>ProjectDash!$B$26:$B$29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15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E-4118-B340-88C0E4645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9195519"/>
        <c:axId val="559197599"/>
      </c:barChart>
      <c:catAx>
        <c:axId val="55919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197599"/>
        <c:crosses val="autoZero"/>
        <c:auto val="1"/>
        <c:lblAlgn val="ctr"/>
        <c:lblOffset val="100"/>
        <c:noMultiLvlLbl val="0"/>
      </c:catAx>
      <c:valAx>
        <c:axId val="55919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19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[Project_Report.xlsx]ProjectDash!PivotTable43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PROJECT</a:t>
            </a:r>
            <a:r>
              <a:rPr lang="en-IN" baseline="0"/>
              <a:t> CATEGORIES</a:t>
            </a:r>
            <a:endParaRPr lang="en-IN"/>
          </a:p>
        </c:rich>
      </c:tx>
      <c:layout>
        <c:manualLayout>
          <c:xMode val="edge"/>
          <c:yMode val="edge"/>
          <c:x val="0.67209565591118836"/>
          <c:y val="3.23709536307961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ProjectDash!$S$24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ProjectDash!$R$25:$R$28</c:f>
              <c:strCache>
                <c:ptCount val="4"/>
                <c:pt idx="0">
                  <c:v>Custom</c:v>
                </c:pt>
                <c:pt idx="1">
                  <c:v>Inhouse</c:v>
                </c:pt>
                <c:pt idx="2">
                  <c:v>Shopify</c:v>
                </c:pt>
                <c:pt idx="3">
                  <c:v>Wordpress</c:v>
                </c:pt>
              </c:strCache>
            </c:strRef>
          </c:cat>
          <c:val>
            <c:numRef>
              <c:f>ProjectDash!$S$25:$S$28</c:f>
              <c:numCache>
                <c:formatCode>General</c:formatCode>
                <c:ptCount val="4"/>
                <c:pt idx="0">
                  <c:v>124</c:v>
                </c:pt>
                <c:pt idx="1">
                  <c:v>285</c:v>
                </c:pt>
                <c:pt idx="2">
                  <c:v>224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2-47C5-B665-928C9E0E3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8575039"/>
        <c:axId val="508579199"/>
      </c:barChart>
      <c:catAx>
        <c:axId val="50857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579199"/>
        <c:crosses val="autoZero"/>
        <c:auto val="1"/>
        <c:lblAlgn val="ctr"/>
        <c:lblOffset val="100"/>
        <c:noMultiLvlLbl val="0"/>
      </c:catAx>
      <c:valAx>
        <c:axId val="50857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57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[Project_Report.xlsx]ProjectDash!PivotTable54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Project Status</a:t>
            </a:r>
          </a:p>
        </c:rich>
      </c:tx>
      <c:layout>
        <c:manualLayout>
          <c:xMode val="edge"/>
          <c:yMode val="edge"/>
          <c:x val="0.73619736853281703"/>
          <c:y val="5.5138248383913645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3791330408958396"/>
          <c:y val="0.34019896489920853"/>
          <c:w val="0.24634770999645805"/>
          <c:h val="0.54624926999214607"/>
        </c:manualLayout>
      </c:layout>
      <c:pieChart>
        <c:varyColors val="1"/>
        <c:ser>
          <c:idx val="0"/>
          <c:order val="0"/>
          <c:tx>
            <c:strRef>
              <c:f>ProjectDash!$S$6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CBD-4443-BF28-6829B49214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CBD-4443-BF28-6829B49214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CBD-4443-BF28-6829B49214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ProjectDash!$R$7:$R$9</c:f>
              <c:strCache>
                <c:ptCount val="3"/>
                <c:pt idx="0">
                  <c:v>In Progress</c:v>
                </c:pt>
                <c:pt idx="1">
                  <c:v>Not Started</c:v>
                </c:pt>
                <c:pt idx="2">
                  <c:v>UAT</c:v>
                </c:pt>
              </c:strCache>
            </c:strRef>
          </c:cat>
          <c:val>
            <c:numRef>
              <c:f>ProjectDash!$S$7:$S$9</c:f>
              <c:numCache>
                <c:formatCode>General</c:formatCode>
                <c:ptCount val="3"/>
                <c:pt idx="0">
                  <c:v>431</c:v>
                </c:pt>
                <c:pt idx="1">
                  <c:v>235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D-4443-BF28-6829B492142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[Project_Report.xlsx]ProjectDash!PivotTable12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cap="all" baseline="0">
                <a:effectLst/>
              </a:rPr>
              <a:t>Project Status</a:t>
            </a:r>
            <a:endParaRPr lang="en-IN">
              <a:effectLst/>
            </a:endParaRPr>
          </a:p>
        </c:rich>
      </c:tx>
      <c:layout>
        <c:manualLayout>
          <c:xMode val="edge"/>
          <c:yMode val="edge"/>
          <c:x val="0.72434567455572363"/>
          <c:y val="5.4143526754637003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ProjectDash!$B$6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A41-47E8-AED0-DC84FB5A45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A41-47E8-AED0-DC84FB5A45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A41-47E8-AED0-DC84FB5A45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A41-47E8-AED0-DC84FB5A45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ProjectDash!$A$7:$A$10</c:f>
              <c:strCache>
                <c:ptCount val="4"/>
                <c:pt idx="0">
                  <c:v>Finished</c:v>
                </c:pt>
                <c:pt idx="1">
                  <c:v>In Progress</c:v>
                </c:pt>
                <c:pt idx="2">
                  <c:v>On Hold</c:v>
                </c:pt>
                <c:pt idx="3">
                  <c:v>UAT</c:v>
                </c:pt>
              </c:strCache>
            </c:strRef>
          </c:cat>
          <c:val>
            <c:numRef>
              <c:f>ProjectDash!$B$7:$B$10</c:f>
              <c:numCache>
                <c:formatCode>General</c:formatCode>
                <c:ptCount val="4"/>
                <c:pt idx="0">
                  <c:v>41</c:v>
                </c:pt>
                <c:pt idx="1">
                  <c:v>12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1-47E8-AED0-DC84FB5A455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[Project_Report.xlsx]29th_June_Report_CP!PivotTable11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PROJECT</a:t>
            </a:r>
            <a:r>
              <a:rPr lang="en-IN" baseline="0"/>
              <a:t> STATUS</a:t>
            </a:r>
          </a:p>
        </c:rich>
      </c:tx>
      <c:layout>
        <c:manualLayout>
          <c:xMode val="edge"/>
          <c:yMode val="edge"/>
          <c:x val="0.74289282820783631"/>
          <c:y val="3.89916841764874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'29th_June_Report_CP'!$B$3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D8B-40E9-848B-8679C02FF06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D8B-40E9-848B-8679C02FF06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D8B-40E9-848B-8679C02FF06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D8B-40E9-848B-8679C02FF06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'29th_June_Report_CP'!$A$4:$A$7</c:f>
              <c:strCache>
                <c:ptCount val="4"/>
                <c:pt idx="0">
                  <c:v>Finished</c:v>
                </c:pt>
                <c:pt idx="1">
                  <c:v>In Progress</c:v>
                </c:pt>
                <c:pt idx="2">
                  <c:v>On Hold</c:v>
                </c:pt>
                <c:pt idx="3">
                  <c:v>UAT</c:v>
                </c:pt>
              </c:strCache>
            </c:strRef>
          </c:cat>
          <c:val>
            <c:numRef>
              <c:f>'29th_June_Report_CP'!$B$4:$B$7</c:f>
              <c:numCache>
                <c:formatCode>General</c:formatCode>
                <c:ptCount val="4"/>
                <c:pt idx="0">
                  <c:v>1370</c:v>
                </c:pt>
                <c:pt idx="1">
                  <c:v>93</c:v>
                </c:pt>
                <c:pt idx="2">
                  <c:v>813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0-4B39-9686-CA343B62E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[Project_Report.xlsx]Sheet2!PivotTable13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Sheet2!$A$2:$A$38</c:f>
              <c:multiLvlStrCache>
                <c:ptCount val="18"/>
                <c:lvl>
                  <c:pt idx="0">
                    <c:v>UAT</c:v>
                  </c:pt>
                  <c:pt idx="1">
                    <c:v>UAT</c:v>
                  </c:pt>
                  <c:pt idx="2">
                    <c:v>UAT</c:v>
                  </c:pt>
                  <c:pt idx="3">
                    <c:v>UAT</c:v>
                  </c:pt>
                  <c:pt idx="4">
                    <c:v>In Progress</c:v>
                  </c:pt>
                  <c:pt idx="5">
                    <c:v>In Progress</c:v>
                  </c:pt>
                  <c:pt idx="6">
                    <c:v>In Progress</c:v>
                  </c:pt>
                  <c:pt idx="7">
                    <c:v>In Progress</c:v>
                  </c:pt>
                  <c:pt idx="8">
                    <c:v>TBD</c:v>
                  </c:pt>
                  <c:pt idx="9">
                    <c:v>In Progress</c:v>
                  </c:pt>
                  <c:pt idx="10">
                    <c:v>In Progress</c:v>
                  </c:pt>
                  <c:pt idx="11">
                    <c:v>In Progress</c:v>
                  </c:pt>
                  <c:pt idx="12">
                    <c:v>In Progress</c:v>
                  </c:pt>
                  <c:pt idx="13">
                    <c:v>In Progress</c:v>
                  </c:pt>
                  <c:pt idx="14">
                    <c:v>UAT</c:v>
                  </c:pt>
                  <c:pt idx="15">
                    <c:v>TBD</c:v>
                  </c:pt>
                  <c:pt idx="16">
                    <c:v>Req. Not Cleared</c:v>
                  </c:pt>
                  <c:pt idx="17">
                    <c:v>In Progress</c:v>
                  </c:pt>
                </c:lvl>
                <c:lvl>
                  <c:pt idx="0">
                    <c:v>     Backlink Checker Tool | Automated SEO Verification</c:v>
                  </c:pt>
                  <c:pt idx="1">
                    <c:v>     Content Writing AI-Powered SEO Content Automation</c:v>
                  </c:pt>
                  <c:pt idx="2">
                    <c:v>     Keyword Indexing Tool | Automated Rank Checking</c:v>
                  </c:pt>
                  <c:pt idx="3">
                    <c:v>     Management Task </c:v>
                  </c:pt>
                  <c:pt idx="4">
                    <c:v> AI Agent - Call History Downloader — Ameyo | DMA Phase 3 </c:v>
                  </c:pt>
                  <c:pt idx="5">
                    <c:v> AI Automation — Ameyo Call Details Report Downloader </c:v>
                  </c:pt>
                  <c:pt idx="6">
                    <c:v> AI-Agent — Ameyo Voice Log Downloader</c:v>
                  </c:pt>
                  <c:pt idx="7">
                    <c:v> AI-Agent — TalkTalk Line Classification</c:v>
                  </c:pt>
                  <c:pt idx="8">
                    <c:v> BOT — Answering Machine Calling</c:v>
                  </c:pt>
                  <c:pt idx="9">
                    <c:v> FastRanking &amp; VeeRepairs || QAAI — AI-Powered Quality Automation</c:v>
                  </c:pt>
                  <c:pt idx="10">
                    <c:v> Hot Lead Automation | B2B Lead Generation</c:v>
                  </c:pt>
                  <c:pt idx="11">
                    <c:v> HR - Sparta Recruit | AI-Powered Recruitment System</c:v>
                  </c:pt>
                  <c:pt idx="12">
                    <c:v> SEO Audit Tool — Real-Time Audit &amp; AI Business Suggestions</c:v>
                  </c:pt>
                  <c:pt idx="13">
                    <c:v> VeeRepairs CRM — ETE Quality Automation</c:v>
                  </c:pt>
                  <c:pt idx="14">
                    <c:v>Digital Marketing Hub | SEO Performance &amp; Intelligence Platform</c:v>
                  </c:pt>
                  <c:pt idx="15">
                    <c:v>QA-SAAS Platform | AI-Powered Quality Assurance</c:v>
                  </c:pt>
                  <c:pt idx="16">
                    <c:v>Sparta Tel | QAAI</c:v>
                  </c:pt>
                  <c:pt idx="17">
                    <c:v>Sparta Telecom - Data Management System [ DMA ] </c:v>
                  </c:pt>
                </c:lvl>
              </c:multiLvlStrCache>
            </c:multiLvlStrRef>
          </c:cat>
          <c:val>
            <c:numRef>
              <c:f>Sheet2!$B$2:$B$38</c:f>
              <c:numCache>
                <c:formatCode>General</c:formatCode>
                <c:ptCount val="18"/>
                <c:pt idx="0">
                  <c:v>13</c:v>
                </c:pt>
                <c:pt idx="1">
                  <c:v>15</c:v>
                </c:pt>
                <c:pt idx="2">
                  <c:v>14</c:v>
                </c:pt>
                <c:pt idx="3">
                  <c:v>16.373626373626301</c:v>
                </c:pt>
                <c:pt idx="4">
                  <c:v>8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18.549450549450501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2</c:v>
                </c:pt>
                <c:pt idx="13">
                  <c:v>6</c:v>
                </c:pt>
                <c:pt idx="14">
                  <c:v>12</c:v>
                </c:pt>
                <c:pt idx="15">
                  <c:v>19.6373626373626</c:v>
                </c:pt>
                <c:pt idx="16">
                  <c:v>17.4615384615384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27-4789-847E-F252A7160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574656"/>
        <c:axId val="353581312"/>
      </c:lineChart>
      <c:catAx>
        <c:axId val="35357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581312"/>
        <c:crosses val="autoZero"/>
        <c:auto val="1"/>
        <c:lblAlgn val="ctr"/>
        <c:lblOffset val="100"/>
        <c:noMultiLvlLbl val="0"/>
      </c:catAx>
      <c:valAx>
        <c:axId val="35358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57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14</xdr:row>
      <xdr:rowOff>38100</xdr:rowOff>
    </xdr:from>
    <xdr:to>
      <xdr:col>3</xdr:col>
      <xdr:colOff>6356350</xdr:colOff>
      <xdr:row>29</xdr:row>
      <xdr:rowOff>165100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37353</xdr:colOff>
      <xdr:row>7</xdr:row>
      <xdr:rowOff>14940</xdr:rowOff>
    </xdr:from>
    <xdr:to>
      <xdr:col>9</xdr:col>
      <xdr:colOff>1202764</xdr:colOff>
      <xdr:row>22</xdr:row>
      <xdr:rowOff>156881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3" name="Chart 2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56030</xdr:colOff>
      <xdr:row>7</xdr:row>
      <xdr:rowOff>22410</xdr:rowOff>
    </xdr:from>
    <xdr:to>
      <xdr:col>11</xdr:col>
      <xdr:colOff>1001059</xdr:colOff>
      <xdr:row>22</xdr:row>
      <xdr:rowOff>171824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56028</xdr:colOff>
      <xdr:row>7</xdr:row>
      <xdr:rowOff>22411</xdr:rowOff>
    </xdr:from>
    <xdr:to>
      <xdr:col>3</xdr:col>
      <xdr:colOff>874059</xdr:colOff>
      <xdr:row>22</xdr:row>
      <xdr:rowOff>156882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21</xdr:row>
      <xdr:rowOff>25400</xdr:rowOff>
    </xdr:from>
    <xdr:to>
      <xdr:col>18</xdr:col>
      <xdr:colOff>571500</xdr:colOff>
      <xdr:row>44</xdr:row>
      <xdr:rowOff>158750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574674</xdr:colOff>
      <xdr:row>23</xdr:row>
      <xdr:rowOff>117474</xdr:rowOff>
    </xdr:from>
    <xdr:to>
      <xdr:col>14</xdr:col>
      <xdr:colOff>63500</xdr:colOff>
      <xdr:row>41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6350</xdr:colOff>
      <xdr:row>24</xdr:row>
      <xdr:rowOff>25400</xdr:rowOff>
    </xdr:from>
    <xdr:to>
      <xdr:col>29</xdr:col>
      <xdr:colOff>0</xdr:colOff>
      <xdr:row>47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50800</xdr:colOff>
      <xdr:row>6</xdr:row>
      <xdr:rowOff>44450</xdr:rowOff>
    </xdr:from>
    <xdr:to>
      <xdr:col>28</xdr:col>
      <xdr:colOff>577850</xdr:colOff>
      <xdr:row>22</xdr:row>
      <xdr:rowOff>139700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19050</xdr:colOff>
      <xdr:row>5</xdr:row>
      <xdr:rowOff>38100</xdr:rowOff>
    </xdr:from>
    <xdr:to>
      <xdr:col>13</xdr:col>
      <xdr:colOff>571500</xdr:colOff>
      <xdr:row>22</xdr:row>
      <xdr:rowOff>139700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34924</xdr:colOff>
      <xdr:row>2</xdr:row>
      <xdr:rowOff>53974</xdr:rowOff>
    </xdr:from>
    <xdr:to>
      <xdr:col>13</xdr:col>
      <xdr:colOff>19050</xdr:colOff>
      <xdr:row>24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24</xdr:col>
      <xdr:colOff>400050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deep Fastranking" refreshedDate="46196.399706365744" createdVersion="6" refreshedVersion="6" minRefreshableVersion="3" recordCount="59">
  <cacheSource type="worksheet">
    <worksheetSource ref="A14:I14" sheet="Client Projects"/>
  </cacheSource>
  <cacheFields count="9">
    <cacheField name="S.No." numFmtId="1">
      <sharedItems containsSemiMixedTypes="0" containsString="0" containsNumber="1" containsInteger="1" minValue="1" maxValue="59"/>
    </cacheField>
    <cacheField name="Project Name" numFmtId="0">
      <sharedItems/>
    </cacheField>
    <cacheField name="Customer" numFmtId="0">
      <sharedItems/>
    </cacheField>
    <cacheField name="Start Date" numFmtId="0">
      <sharedItems containsDate="1" containsMixedTypes="1" minDate="2026-02-20T00:00:00" maxDate="2026-06-13T00:00:00"/>
    </cacheField>
    <cacheField name="Deadline" numFmtId="0">
      <sharedItems containsDate="1" containsMixedTypes="1" minDate="1899-12-31T00:00:00" maxDate="2026-07-01T00:00:00"/>
    </cacheField>
    <cacheField name="Members" numFmtId="0">
      <sharedItems containsMixedTypes="1" containsNumber="1" containsInteger="1" minValue="0" maxValue="0"/>
    </cacheField>
    <cacheField name="Status" numFmtId="0">
      <sharedItems/>
    </cacheField>
    <cacheField name="Project Categories" numFmtId="0">
      <sharedItems count="4">
        <s v="Inhouse"/>
        <s v="Wordpress"/>
        <s v="Shopify"/>
        <s v="Custom"/>
      </sharedItems>
    </cacheField>
    <cacheField name="Comments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andeep Fastranking" refreshedDate="46196.519473148146" createdVersion="6" refreshedVersion="6" minRefreshableVersion="3" recordCount="37">
  <cacheSource type="worksheet">
    <worksheetSource ref="A1:I38" sheet="FR_Projects"/>
  </cacheSource>
  <cacheFields count="9">
    <cacheField name="S.No." numFmtId="1">
      <sharedItems containsSemiMixedTypes="0" containsString="0" containsNumber="1" containsInteger="1" minValue="1" maxValue="37"/>
    </cacheField>
    <cacheField name="Project Name" numFmtId="0">
      <sharedItems/>
    </cacheField>
    <cacheField name="Customer" numFmtId="0">
      <sharedItems/>
    </cacheField>
    <cacheField name="Start Date" numFmtId="0">
      <sharedItems containsDate="1" containsMixedTypes="1" minDate="2026-05-25T00:00:00" maxDate="2026-05-26T00:00:00"/>
    </cacheField>
    <cacheField name="Deadline" numFmtId="0">
      <sharedItems containsDate="1" containsBlank="1" containsMixedTypes="1" minDate="2026-06-16T00:00:00" maxDate="2026-06-17T00:00:00"/>
    </cacheField>
    <cacheField name="Members" numFmtId="0">
      <sharedItems containsMixedTypes="1" containsNumber="1" containsInteger="1" minValue="1" maxValue="17"/>
    </cacheField>
    <cacheField name="Status" numFmtId="0">
      <sharedItems/>
    </cacheField>
    <cacheField name="Project Categories" numFmtId="0">
      <sharedItems count="4">
        <s v="Wordpress"/>
        <s v="Shopify"/>
        <s v="Inhouse"/>
        <s v="Custom"/>
      </sharedItems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andeep Fastranking" refreshedDate="46196.520300578704" createdVersion="6" refreshedVersion="6" minRefreshableVersion="3" recordCount="37">
  <cacheSource type="worksheet">
    <worksheetSource ref="A1:I38" sheet="FR_Projects"/>
  </cacheSource>
  <cacheFields count="9">
    <cacheField name="S.No." numFmtId="1">
      <sharedItems containsSemiMixedTypes="0" containsString="0" containsNumber="1" containsInteger="1" minValue="1" maxValue="37"/>
    </cacheField>
    <cacheField name="Project Name" numFmtId="0">
      <sharedItems/>
    </cacheField>
    <cacheField name="Customer" numFmtId="0">
      <sharedItems/>
    </cacheField>
    <cacheField name="Start Date" numFmtId="0">
      <sharedItems containsDate="1" containsMixedTypes="1" minDate="2026-05-25T00:00:00" maxDate="2026-05-26T00:00:00"/>
    </cacheField>
    <cacheField name="Deadline" numFmtId="0">
      <sharedItems containsDate="1" containsBlank="1" containsMixedTypes="1" minDate="2026-06-16T00:00:00" maxDate="2026-06-17T00:00:00"/>
    </cacheField>
    <cacheField name="Members" numFmtId="0">
      <sharedItems containsMixedTypes="1" containsNumber="1" containsInteger="1" minValue="1" maxValue="17"/>
    </cacheField>
    <cacheField name="Status" numFmtId="0">
      <sharedItems count="3">
        <s v="In Progress"/>
        <s v="Not Started"/>
        <s v="UAT"/>
      </sharedItems>
    </cacheField>
    <cacheField name="Project Categories" numFmtId="0">
      <sharedItems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Sandeep Fastranking" refreshedDate="46196.583146527781" createdVersion="6" refreshedVersion="6" minRefreshableVersion="3" recordCount="59">
  <cacheSource type="worksheet">
    <worksheetSource ref="A14:I14" sheet="Client Projects"/>
  </cacheSource>
  <cacheFields count="9">
    <cacheField name="S.No." numFmtId="1">
      <sharedItems containsSemiMixedTypes="0" containsString="0" containsNumber="1" containsInteger="1" minValue="1" maxValue="59"/>
    </cacheField>
    <cacheField name="Project Name" numFmtId="0">
      <sharedItems/>
    </cacheField>
    <cacheField name="Customer" numFmtId="0">
      <sharedItems/>
    </cacheField>
    <cacheField name="Start Date" numFmtId="0">
      <sharedItems containsDate="1" containsMixedTypes="1" minDate="2026-02-20T00:00:00" maxDate="2026-06-13T00:00:00"/>
    </cacheField>
    <cacheField name="Deadline" numFmtId="0">
      <sharedItems containsDate="1" containsMixedTypes="1" minDate="1899-12-31T00:00:00" maxDate="2026-07-01T00:00:00"/>
    </cacheField>
    <cacheField name="Members" numFmtId="0">
      <sharedItems containsMixedTypes="1" containsNumber="1" containsInteger="1" minValue="0" maxValue="0"/>
    </cacheField>
    <cacheField name="Status" numFmtId="0">
      <sharedItems count="4">
        <s v="In Progress"/>
        <s v="On Hold"/>
        <s v="UAT"/>
        <s v="Finished"/>
      </sharedItems>
    </cacheField>
    <cacheField name="Project Categories" numFmtId="0">
      <sharedItems/>
    </cacheField>
    <cacheField name="Comments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Sandeep Fastranking" refreshedDate="46202.520712962963" createdVersion="6" refreshedVersion="6" minRefreshableVersion="3" recordCount="67">
  <cacheSource type="worksheet">
    <worksheetSource ref="A1:I68" sheet="Client Projects"/>
  </cacheSource>
  <cacheFields count="9">
    <cacheField name="S.No." numFmtId="1">
      <sharedItems containsSemiMixedTypes="0" containsString="0" containsNumber="1" containsInteger="1" minValue="1" maxValue="67"/>
    </cacheField>
    <cacheField name="Project Name" numFmtId="0">
      <sharedItems/>
    </cacheField>
    <cacheField name="Customer" numFmtId="0">
      <sharedItems/>
    </cacheField>
    <cacheField name="Start Date" numFmtId="0">
      <sharedItems containsDate="1" containsMixedTypes="1" minDate="2025-03-07T00:00:00" maxDate="2026-06-13T00:00:00"/>
    </cacheField>
    <cacheField name="Deadline" numFmtId="0">
      <sharedItems containsDate="1" containsMixedTypes="1" minDate="1899-12-31T00:00:00" maxDate="2026-07-01T00:00:00"/>
    </cacheField>
    <cacheField name="Members" numFmtId="0">
      <sharedItems containsMixedTypes="1" containsNumber="1" containsInteger="1" minValue="0" maxValue="0"/>
    </cacheField>
    <cacheField name="Status" numFmtId="0">
      <sharedItems count="4">
        <s v="Finished"/>
        <s v="UAT"/>
        <s v="In Progress"/>
        <s v="On Hold"/>
      </sharedItems>
    </cacheField>
    <cacheField name="Project Categories" numFmtId="0">
      <sharedItems/>
    </cacheField>
    <cacheField name="Commen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Sandeep Fastranking" refreshedDate="46287.623881134263" createdVersion="6" refreshedVersion="6" minRefreshableVersion="3" recordCount="18">
  <cacheSource type="worksheet">
    <worksheetSource ref="A1:H19" sheet="AI Projects"/>
  </cacheSource>
  <cacheFields count="8">
    <cacheField name="S.No." numFmtId="1">
      <sharedItems containsSemiMixedTypes="0" containsString="0" containsNumber="1" minValue="1" maxValue="19.6373626373626"/>
    </cacheField>
    <cacheField name="Project Name" numFmtId="0">
      <sharedItems count="18">
        <s v="Sparta Telecom - Data Management System [ DMA ] "/>
        <s v=" SEO Audit Tool — Real-Time Audit &amp; AI Business Suggestions"/>
        <s v=" AI-Agent — TalkTalk Line Classification"/>
        <s v=" AI-Agent — Ameyo Voice Log Downloader"/>
        <s v=" VeeRepairs CRM — ETE Quality Automation"/>
        <s v=" AI Automation — Ameyo Call Details Report Downloader "/>
        <s v=" AI Agent - Call History Downloader — Ameyo | DMA Phase 3 "/>
        <s v=" FastRanking &amp; VeeRepairs || QAAI — AI-Powered Quality Automation"/>
        <s v=" Hot Lead Automation | B2B Lead Generation"/>
        <s v=" HR - Sparta Recruit | AI-Powered Recruitment System"/>
        <s v="Digital Marketing Hub | SEO Performance &amp; Intelligence Platform"/>
        <s v="     Backlink Checker Tool | Automated SEO Verification"/>
        <s v="     Keyword Indexing Tool | Automated Rank Checking"/>
        <s v="     Content Writing AI-Powered SEO Content Automation"/>
        <s v="     Management Task "/>
        <s v="Sparta Tel | QAAI"/>
        <s v=" BOT — Answering Machine Calling"/>
        <s v="QA-SAAS Platform | AI-Powered Quality Assurance"/>
      </sharedItems>
    </cacheField>
    <cacheField name="Customer" numFmtId="0">
      <sharedItems/>
    </cacheField>
    <cacheField name="Start Date" numFmtId="0">
      <sharedItems/>
    </cacheField>
    <cacheField name="Deadline" numFmtId="0">
      <sharedItems/>
    </cacheField>
    <cacheField name="Members" numFmtId="0">
      <sharedItems/>
    </cacheField>
    <cacheField name="Status" numFmtId="0">
      <sharedItems count="4">
        <s v="In Progress"/>
        <s v="UAT"/>
        <s v="Req. Not Cleared"/>
        <s v="TBD"/>
      </sharedItems>
    </cacheField>
    <cacheField name="Project Categori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">
  <r>
    <n v="1"/>
    <s v="Digital Marketing Automation"/>
    <s v="Sparta"/>
    <d v="2026-05-11T00:00:00"/>
    <d v="2026-05-30T00:00:00"/>
    <s v="Shivam"/>
    <s v="In Progress"/>
    <x v="0"/>
    <s v="Requirements were received from the SEO team for the digital process, including monthly reporting, report view development, and keyword mapping."/>
  </r>
  <r>
    <n v="2"/>
    <s v="Fast Ranking SMO"/>
    <s v="Sparta"/>
    <d v="2026-05-11T00:00:00"/>
    <d v="2026-05-31T00:00:00"/>
    <s v="ADAvinash Designer"/>
    <s v="On Hold"/>
    <x v="0"/>
    <s v="This is currently on hold, as resources are required to work on it."/>
  </r>
  <r>
    <n v="3"/>
    <s v="FCL(firstclasslearning)"/>
    <s v="FCL(firstclasslearning)"/>
    <d v="2026-05-16T00:00:00"/>
    <d v="2026-06-01T00:00:00"/>
    <s v="Vipin, Avinash, Nikhil &amp; Abhijeet  "/>
    <s v="In Progress"/>
    <x v="1"/>
    <s v="Landing page has been developed , tested and deployed successfully. In addition to this SEO team is curretly working on the SEO items._x000a_Meeting is scheduled for today with the client for the payment related queries ( SEO team is currently handling this item )"/>
  </r>
  <r>
    <n v="4"/>
    <s v="Surge Production"/>
    <s v="Surge Production"/>
    <d v="2026-05-11T00:00:00"/>
    <d v="2026-06-11T00:00:00"/>
    <s v="Deepak , Abhijeet"/>
    <s v="In Progress"/>
    <x v="1"/>
    <s v="Web testing is in progress, ETA : Monday ( SOD )"/>
  </r>
  <r>
    <n v="5"/>
    <s v="Nomads Clothing"/>
    <s v="Nomads Clothing"/>
    <d v="2026-05-14T00:00:00"/>
    <d v="2026-06-13T00:00:00"/>
    <s v="NWNikhil  Web Developer"/>
    <s v="Finished"/>
    <x v="2"/>
    <s v="Deployed Successfully, Taking followup from the client is everything is good at their side."/>
  </r>
  <r>
    <n v="6"/>
    <s v="APS-CMS-MIGRATION"/>
    <s v="Allen House"/>
    <d v="2026-05-25T00:00:00"/>
    <d v="2026-06-16T00:00:00"/>
    <s v="Abhijeet , Vani , Suraj , Raunik &amp; Nikhil"/>
    <s v="UAT"/>
    <x v="3"/>
    <s v="UAT walkthrough has been provided by Abhijeet to the client and waiting for update from their side."/>
  </r>
  <r>
    <n v="7"/>
    <s v="Varsity Audio Visuals"/>
    <s v="Varsity Audio Visuals"/>
    <d v="2026-06-12T00:00:00"/>
    <d v="2026-06-19T00:00:00"/>
    <s v="AWADAman Web Developer, Avinash Designer"/>
    <s v="In Progress"/>
    <x v="1"/>
    <s v="In progress, team is working on homepage and once that is done team needs to test the same."/>
  </r>
  <r>
    <n v="8"/>
    <s v="Eagle Properties"/>
    <s v="Eagle Properties"/>
    <d v="2026-06-05T00:00:00"/>
    <d v="2026-06-20T00:00:00"/>
    <s v="Deepak Web Developer"/>
    <s v="In Progress"/>
    <x v="1"/>
    <s v="Followup sent from our side , waiting for the client to response."/>
  </r>
  <r>
    <n v="9"/>
    <s v="FH Furniture"/>
    <s v="FH Furniture"/>
    <d v="2026-02-20T00:00:00"/>
    <d v="2026-06-10T00:00:00"/>
    <s v="Nikhil, Deepak &amp; Abhijeet"/>
    <s v="In Progress"/>
    <x v="2"/>
    <s v="Need to schedule a call with the client on Monday."/>
  </r>
  <r>
    <n v="10"/>
    <s v="Landing Page Creation"/>
    <s v="DrivewithGreta"/>
    <d v="2026-06-12T00:00:00"/>
    <d v="2026-06-13T00:00:00"/>
    <s v="Deepak"/>
    <s v="In Progress"/>
    <x v="1"/>
    <s v="Landing page has been created , web testing is in progress"/>
  </r>
  <r>
    <n v="11"/>
    <s v="Briggs Safety Wear"/>
    <s v="SEO - Briggs Safety Wear"/>
    <s v="27-March-2026"/>
    <s v="15-April-2026"/>
    <s v="Aman"/>
    <s v="Finished"/>
    <x v="1"/>
    <s v="Done"/>
  </r>
  <r>
    <n v="12"/>
    <s v="LAYLA GORDON"/>
    <s v="LAYLA GORDON"/>
    <s v="28-March-2026"/>
    <s v="15-April-2026"/>
    <s v="Aman"/>
    <s v="Finished"/>
    <x v="1"/>
    <s v="Done"/>
  </r>
  <r>
    <n v="13"/>
    <s v="RBD Driving School"/>
    <s v="RBD Driving School"/>
    <s v="02-April-2026"/>
    <s v="15-April-2026"/>
    <s v="ASDWAbhijeet Singh Software Tester, Deepak Web Developer"/>
    <s v="In Progress"/>
    <x v="2"/>
    <s v="Demo Deployed, But no response from the client side"/>
  </r>
  <r>
    <n v="14"/>
    <s v="4 Corners Cleaning Services Ltd"/>
    <s v="4 Corners Cleaning Services Ltd"/>
    <s v="24-February-2026"/>
    <s v="15-April-2026"/>
    <s v="ASAbhijeet Singh Software Tester"/>
    <s v="In Progress"/>
    <x v="1"/>
    <s v="No Response from Client"/>
  </r>
  <r>
    <n v="15"/>
    <s v="OBIsonic Digital Photography"/>
    <s v="OBIsonic Digital Photography"/>
    <s v="12-February-2026"/>
    <s v="15-April-2026"/>
    <s v="ASAbhijeet Singh Software Tester"/>
    <s v="In Progress"/>
    <x v="1"/>
    <s v="No Response from Client"/>
  </r>
  <r>
    <n v="16"/>
    <s v="Greyson Studios"/>
    <s v="Mr. Matthew Elegbede"/>
    <s v="10-March-2026"/>
    <s v="15-April-2026"/>
    <s v="DWDeepak Web Developer"/>
    <s v="In Progress"/>
    <x v="1"/>
    <s v="Waiting for client response"/>
  </r>
  <r>
    <n v="17"/>
    <s v="JEWELLERY DESIGN CENTRE LIMITED"/>
    <s v="JEWELLERY DESIGN CENTRE LIMITED"/>
    <s v="16-April-2026"/>
    <s v="20-May-2026"/>
    <s v="DWAWDeepak Web Developer, Aman Web Developer"/>
    <s v="Finished"/>
    <x v="2"/>
    <s v="Done"/>
  </r>
  <r>
    <n v="18"/>
    <s v="NWT"/>
    <s v="NWT"/>
    <s v="21-January-2026"/>
    <s v="30-May-2026"/>
    <s v="Aman "/>
    <s v="Finished"/>
    <x v="2"/>
    <s v="Done"/>
  </r>
  <r>
    <n v="19"/>
    <s v="Jans Solutions Ltd"/>
    <s v="Jans Solutions Ltd"/>
    <s v="24-February-2026"/>
    <s v="30-May-2026"/>
    <s v="Aman "/>
    <s v="Finished"/>
    <x v="1"/>
    <s v="Done"/>
  </r>
  <r>
    <n v="20"/>
    <s v="Nomads Saige"/>
    <s v="Nomads Saige"/>
    <s v="02-April-2026"/>
    <s v="05-June-2026"/>
    <s v="Aman "/>
    <s v="Finished"/>
    <x v="2"/>
    <s v="Done"/>
  </r>
  <r>
    <n v="21"/>
    <s v="Silver Street London"/>
    <s v="Silver Street London"/>
    <s v="06-April-2026"/>
    <s v="10-June-2026"/>
    <s v="Aman "/>
    <s v="Finished"/>
    <x v="2"/>
    <s v="Done"/>
  </r>
  <r>
    <n v="22"/>
    <s v="FH Furniture"/>
    <s v="FH Furniture"/>
    <s v="20-February-2026"/>
    <s v="10-June-2026"/>
    <s v="Deepak &amp; Nikhil"/>
    <s v="In Progress"/>
    <x v="2"/>
    <s v="In Progress"/>
  </r>
  <r>
    <n v="23"/>
    <s v="Varsity Audio Visuals"/>
    <s v="Varsity Audio Visuals"/>
    <s v="12-June-2026"/>
    <s v="19-June-2026"/>
    <s v="AWADAman Web Developer, Avinash Designer"/>
    <s v="Finished"/>
    <x v="1"/>
    <s v="Done"/>
  </r>
  <r>
    <n v="24"/>
    <s v="AMEN SHOES"/>
    <s v="AMEN SHOES"/>
    <s v="24-January-2026"/>
    <s v="30-June-2026"/>
    <s v="Aman"/>
    <s v="Finished"/>
    <x v="2"/>
    <s v="Done"/>
  </r>
  <r>
    <n v="25"/>
    <s v="Allen Group - DPS"/>
    <s v="Allen House"/>
    <s v="30-March-2026"/>
    <s v="30-June-2026"/>
    <s v="Suraj, Raunik , Abhijeet &amp; Vani"/>
    <s v="Finished"/>
    <x v="3"/>
    <s v="Done"/>
  </r>
  <r>
    <n v="26"/>
    <s v="Allen House"/>
    <s v="Allen House"/>
    <s v="01-March-2026"/>
    <s v="22-July-2026"/>
    <s v="Suraj, Raunik , Abhijeet &amp; Vani"/>
    <s v="Finished"/>
    <x v="3"/>
    <s v="Done"/>
  </r>
  <r>
    <n v="27"/>
    <s v="Allen Group - Allenkids"/>
    <s v="Allen House"/>
    <s v="30-March-2026"/>
    <s v="31-July-2026"/>
    <s v="Suraj, Raunik , Abhijeet &amp; Vani"/>
    <s v="Finished"/>
    <x v="3"/>
    <s v="Done"/>
  </r>
  <r>
    <n v="28"/>
    <s v="READING PROPERTIES GROUP LTD"/>
    <s v="Reading Properties Group"/>
    <s v="16-June-2026"/>
    <s v="16-September-2026"/>
    <s v="Sandeep , Avinash , Abhijeet, Deepak &amp; Aman"/>
    <s v="In Progress"/>
    <x v="1"/>
    <s v="In Progress"/>
  </r>
  <r>
    <n v="29"/>
    <s v="CATESBY ENGLAND"/>
    <s v="CATESBY ENGLAND"/>
    <s v="21-January-2026"/>
    <s v="31-July-2027"/>
    <s v="Aman"/>
    <s v="Finished"/>
    <x v="2"/>
    <s v="Done"/>
  </r>
  <r>
    <n v="30"/>
    <s v="Nomads Trade Website"/>
    <s v="Nomads Trade Website"/>
    <s v="14-October-2025"/>
    <d v="2026-06-30T00:00:00"/>
    <s v="Nikhil"/>
    <s v="Finished"/>
    <x v="2"/>
    <s v="Done"/>
  </r>
  <r>
    <n v="31"/>
    <s v="MARKETPLACE"/>
    <s v="MARKETPLACE"/>
    <s v="21-January-2026"/>
    <d v="2026-06-30T00:00:00"/>
    <s v="Aman"/>
    <s v="Finished"/>
    <x v="2"/>
    <s v="Done"/>
  </r>
  <r>
    <n v="32"/>
    <s v="Stabilus"/>
    <s v="Stabilus"/>
    <s v="11-December-2025"/>
    <d v="2026-06-30T00:00:00"/>
    <s v="ASAWAbhijeet Singh Software Tester, Aman Web Developer"/>
    <s v="Finished"/>
    <x v="2"/>
    <s v="Done"/>
  </r>
  <r>
    <n v="33"/>
    <s v="FOOTWEAR DEPOT - 1"/>
    <s v="FOOTWEAR DEPOT - 1"/>
    <s v="11-February-2026"/>
    <s v="13-February-2026"/>
    <s v="AWNWAman Web Developer, Nikhil  Web Developer"/>
    <s v="Finished"/>
    <x v="2"/>
    <s v="Done"/>
  </r>
  <r>
    <n v="34"/>
    <s v="EA Driving School"/>
    <s v="EA Driving School"/>
    <s v="27-October-2025"/>
    <s v="09-April-2026"/>
    <s v="ASAbhijeet Singh Software Tester"/>
    <s v="Finished"/>
    <x v="1"/>
    <s v="Done"/>
  </r>
  <r>
    <n v="35"/>
    <s v="RRJ Design"/>
    <s v="RRJ Design"/>
    <s v="24-February-2026"/>
    <s v="09-April-2026"/>
    <s v="ASDWAbhijeet Singh Software Tester, Deepak Web Developer"/>
    <s v="Finished"/>
    <x v="1"/>
    <s v="Done"/>
  </r>
  <r>
    <n v="36"/>
    <s v="Agid Van"/>
    <s v="Agid Van"/>
    <s v="03-October-2025"/>
    <s v="13-April-2026"/>
    <s v="ASAWAbhijeet Singh Software Tester, Aman Web Developer"/>
    <s v="Finished"/>
    <x v="1"/>
    <s v="Done"/>
  </r>
  <r>
    <n v="37"/>
    <s v="ACE LEARNING PLUS"/>
    <s v="ACE LEARNING PLUS"/>
    <s v="02-March-2026"/>
    <s v="15-April-2026"/>
    <s v="AWASAman Web Developer, Abhijeet Singh Software Tester"/>
    <s v="On Hold"/>
    <x v="1"/>
    <s v="Need to get the interal confirmation from the internal team"/>
  </r>
  <r>
    <n v="38"/>
    <s v="Boiler Gas Tech"/>
    <s v="Boiler Gas Tech"/>
    <s v="07-October-2025"/>
    <s v="15-April-2026"/>
    <s v="+1"/>
    <s v="Finished"/>
    <x v="1"/>
    <s v="Done"/>
  </r>
  <r>
    <n v="39"/>
    <s v="Julian Taxi"/>
    <s v="Julian Taxi"/>
    <s v="16-October-2025"/>
    <s v="15-April-2026"/>
    <s v="ASAbhijeet Singh Software Tester"/>
    <s v="Finished"/>
    <x v="1"/>
    <s v="Done"/>
  </r>
  <r>
    <n v="40"/>
    <s v="Auto Market Place"/>
    <s v="Auto Market Place"/>
    <s v="29-November-2025"/>
    <s v="15-April-2026"/>
    <s v="DWNWDeepak Web Developer, Nikhil  Web Developer"/>
    <s v="Finished"/>
    <x v="1"/>
    <s v="Done"/>
  </r>
  <r>
    <n v="41"/>
    <s v="Dialogue Fosters"/>
    <s v="Dialogue Fosters"/>
    <s v="14-October-2025"/>
    <s v="15-April-2026"/>
    <s v="AWAman Web Developer"/>
    <s v="Finished"/>
    <x v="1"/>
    <s v="Done"/>
  </r>
  <r>
    <n v="42"/>
    <s v="Wood and Home 99 Location pages"/>
    <s v="Wood and Home 99 Location pages"/>
    <s v="22-October-2025"/>
    <s v="15-April-2026"/>
    <s v="ASAbhijeet Singh Software Tester"/>
    <s v="Finished"/>
    <x v="1"/>
    <s v="Done"/>
  </r>
  <r>
    <n v="43"/>
    <s v="Veedux Production"/>
    <s v="Veedux Production"/>
    <s v="25-October-2025"/>
    <s v="15-April-2026"/>
    <s v="ASAbhijeet Singh Software Tester"/>
    <s v="Finished"/>
    <x v="1"/>
    <s v="Done"/>
  </r>
  <r>
    <n v="44"/>
    <s v="Eden's Edge"/>
    <s v="Eden's Edge"/>
    <s v="16-February-2026"/>
    <s v="15-April-2026"/>
    <n v="0"/>
    <s v="Finished"/>
    <x v="1"/>
    <s v="Done"/>
  </r>
  <r>
    <n v="45"/>
    <s v="Kitchen 3D Limited"/>
    <s v="Kitchen 3D Limited"/>
    <s v="17-December-2025"/>
    <s v="15-April-2026"/>
    <s v="ASAbhijeet Singh Software Tester"/>
    <s v="Finished"/>
    <x v="1"/>
    <s v="Done"/>
  </r>
  <r>
    <n v="46"/>
    <s v="Graphic Design Print"/>
    <s v="Graphic Design Print"/>
    <s v="08-December-2025"/>
    <s v="15-April-2026"/>
    <s v="DWDeepak Web Developer"/>
    <s v="Finished"/>
    <x v="1"/>
    <s v="Done"/>
  </r>
  <r>
    <n v="47"/>
    <s v="Corby Motors"/>
    <s v="Corby Motors"/>
    <s v="23-February-2026"/>
    <s v="20-April-2026"/>
    <s v="DWNWDeepak Web Developer, Nikhil  Web Developer"/>
    <s v="On Hold"/>
    <x v="1"/>
    <s v="Not live , Need to get update from internal team ( UAT )"/>
  </r>
  <r>
    <n v="48"/>
    <s v="Kent Wasp Control"/>
    <s v="Kent Wasp Control"/>
    <s v="16-March-2026"/>
    <s v="24-April-2026"/>
    <s v="DWAWDeepak Web Developer, Aman Web Developer"/>
    <s v="Finished"/>
    <x v="1"/>
    <s v="Done"/>
  </r>
  <r>
    <n v="49"/>
    <s v="Patrick Shoes"/>
    <s v="Patrick Shoes"/>
    <s v="13-April-2026"/>
    <s v="24-April-2026"/>
    <s v="DWVFDeepak Web Developer, Vani Frontend developer"/>
    <s v="Finished"/>
    <x v="3"/>
    <s v="Done"/>
  </r>
  <r>
    <n v="50"/>
    <s v="Adam's Painting &amp; Decorating"/>
    <s v="Adam's Painting &amp; Decorating"/>
    <s v="13-March-2026"/>
    <s v="16-May-2026"/>
    <s v="+1"/>
    <s v="Finished"/>
    <x v="1"/>
    <s v="Done"/>
  </r>
  <r>
    <n v="51"/>
    <s v="Allen House - FRANCHISE LANDING PAGE PROJECT"/>
    <s v="Allen House - FRANCHISE LANDING PAGE PROJECT"/>
    <s v="30-April-2026"/>
    <s v="16-May-2026"/>
    <s v="+4"/>
    <s v="Finished"/>
    <x v="3"/>
    <s v="Done"/>
  </r>
  <r>
    <n v="52"/>
    <s v="DRC Auto Sales"/>
    <s v="DRC Auto Sales"/>
    <s v="29-January-2026"/>
    <s v="26-May-2026"/>
    <s v="ASNWAbhijeet Singh Software Tester, Nikhil  Web Developer"/>
    <s v="Finished"/>
    <x v="1"/>
    <s v="Done"/>
  </r>
  <r>
    <n v="53"/>
    <s v="Solar Panel Bird Proofing Ken"/>
    <s v="Solar Panel Bird Proofing Ken"/>
    <s v="18-March-2026"/>
    <s v="20-April-2026"/>
    <s v="+1"/>
    <s v="Finished"/>
    <x v="1"/>
    <s v="Done"/>
  </r>
  <r>
    <n v="54"/>
    <s v="SSL"/>
    <s v="SSL"/>
    <s v="28-January-2026"/>
    <n v="0"/>
    <s v="AWNWAman Web Developer, Nikhil  Web Developer"/>
    <s v="Finished"/>
    <x v="2"/>
    <s v="Done"/>
  </r>
  <r>
    <n v="55"/>
    <s v="iDrive Auto"/>
    <s v="iDrive Auto"/>
    <s v="11-December-2025"/>
    <n v="0"/>
    <s v="AWAman Web Developer"/>
    <s v="Finished"/>
    <x v="1"/>
    <s v="Done"/>
  </r>
  <r>
    <n v="56"/>
    <s v="Optimum Global Care"/>
    <s v="Optimum Global Care"/>
    <s v="09-October-2025"/>
    <n v="0"/>
    <n v="0"/>
    <s v="On Hold"/>
    <x v="1"/>
    <s v="Not confirmed. "/>
  </r>
  <r>
    <n v="57"/>
    <s v="Know &amp; Grow Tutors"/>
    <s v="Know &amp; Grow Tutors"/>
    <s v="14-October-2025"/>
    <n v="0"/>
    <s v="NWNikhil  Web Developer"/>
    <s v="Finished"/>
    <x v="1"/>
    <s v="Done"/>
  </r>
  <r>
    <n v="58"/>
    <s v="Mk Global Consultant"/>
    <s v="Mk Global Consultant"/>
    <s v="06-October-2025"/>
    <n v="0"/>
    <s v="+2"/>
    <s v="Finished"/>
    <x v="1"/>
    <s v="Done"/>
  </r>
  <r>
    <n v="59"/>
    <s v="DelaVogue Fashion"/>
    <s v="DelaVogue Fashion"/>
    <s v="10-October-2025"/>
    <n v="0"/>
    <s v="+1"/>
    <s v="Finished"/>
    <x v="1"/>
    <s v="Don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7">
  <r>
    <n v="1"/>
    <s v="Briggs Safety Wear"/>
    <s v="SEO - Briggs Safety Wear"/>
    <s v="27-March-2026"/>
    <s v="15-April-2026"/>
    <n v="1"/>
    <s v="In Progress"/>
    <x v="0"/>
    <m/>
  </r>
  <r>
    <n v="2"/>
    <s v="LAYLA GORDON"/>
    <s v="LAYLA GORDON"/>
    <s v="28-March-2026"/>
    <s v="15-April-2026"/>
    <n v="1"/>
    <s v="In Progress"/>
    <x v="0"/>
    <m/>
  </r>
  <r>
    <n v="3"/>
    <s v="RBD Driving School"/>
    <s v="RBD Driving School"/>
    <s v="02-April-2026"/>
    <s v="15-April-2026"/>
    <s v="ASAbhijeet Singh Software Tester, Deepak Web Developer"/>
    <s v="Not Started"/>
    <x v="1"/>
    <m/>
  </r>
  <r>
    <n v="4"/>
    <s v="4 Corners Cleaning Services Ltd"/>
    <s v="4 Corners Cleaning Services Ltd"/>
    <s v="24-February-2026"/>
    <s v="15-April-2026"/>
    <s v="ASAbhijeet Singh Software Tester"/>
    <s v="In Progress"/>
    <x v="0"/>
    <m/>
  </r>
  <r>
    <n v="5"/>
    <s v="OBIsonic Digital Photography"/>
    <s v="OBIsonic Digital Photography"/>
    <s v="12-February-2026"/>
    <s v="15-April-2026"/>
    <s v="ASAbhijeet Singh Software Tester"/>
    <s v="In Progress"/>
    <x v="0"/>
    <m/>
  </r>
  <r>
    <n v="6"/>
    <s v="Greyson Studios"/>
    <s v="Mr. Matthew Elegbede"/>
    <s v="10-March-2026"/>
    <s v="15-April-2026"/>
    <s v="Deepak Web Developer"/>
    <s v="In Progress"/>
    <x v="0"/>
    <m/>
  </r>
  <r>
    <n v="7"/>
    <s v="AI VOICE TELECALLER ( INBOUND + OUTBOUND )"/>
    <s v="Sparta"/>
    <s v="21-January-2026"/>
    <s v="27-April-2026"/>
    <s v="SBShivam Backend Developer"/>
    <s v="In Progress"/>
    <x v="2"/>
    <m/>
  </r>
  <r>
    <n v="8"/>
    <s v="Annual Performance Assessment(Appraisal System)"/>
    <s v="Sparta"/>
    <s v="31-March-2026"/>
    <s v="30-April-2026"/>
    <n v="2"/>
    <s v="In Progress"/>
    <x v="2"/>
    <m/>
  </r>
  <r>
    <n v="9"/>
    <s v="Allen House - FRANCHISE LANDING PAGE PROJECT"/>
    <s v="Allen House"/>
    <s v="30-April-2026"/>
    <s v="16-May-2026"/>
    <n v="4"/>
    <s v="In Progress"/>
    <x v="3"/>
    <m/>
  </r>
  <r>
    <n v="10"/>
    <s v="JEWELLERY DESIGN CENTRE LIMITED"/>
    <s v="JEWELLERY DESIGN CENTRE LIMITED"/>
    <s v="16-April-2026"/>
    <s v="20-May-2026"/>
    <s v="AWDeepak Web Developer, Aman Web Developer"/>
    <s v="In Progress"/>
    <x v="1"/>
    <m/>
  </r>
  <r>
    <n v="11"/>
    <s v="QA-AI-AGENT-SPARTA_TELECOM"/>
    <s v="Sparta"/>
    <s v="21-April-2026"/>
    <s v="30-May-2026"/>
    <s v="SBShivam Backend Developer"/>
    <s v="Not Started"/>
    <x v="2"/>
    <m/>
  </r>
  <r>
    <n v="12"/>
    <s v="NWT"/>
    <s v="NWT"/>
    <s v="21-January-2026"/>
    <s v="30-May-2026"/>
    <n v="2"/>
    <s v="In Progress"/>
    <x v="1"/>
    <m/>
  </r>
  <r>
    <n v="13"/>
    <s v="Digital Marketing Automation"/>
    <s v="Sparta"/>
    <s v="11-May-2026"/>
    <s v="30-May-2026"/>
    <n v="2"/>
    <s v="Not Started"/>
    <x v="2"/>
    <m/>
  </r>
  <r>
    <n v="14"/>
    <s v="Jans Solutions Ltd"/>
    <s v="Jans Solutions Ltd"/>
    <s v="24-February-2026"/>
    <s v="30-May-2026"/>
    <n v="2"/>
    <s v="In Progress"/>
    <x v="0"/>
    <m/>
  </r>
  <r>
    <n v="15"/>
    <s v="Nomads Saige"/>
    <s v="Nomads Saige"/>
    <s v="02-April-2026"/>
    <s v="05-June-2026"/>
    <n v="1"/>
    <s v="In Progress"/>
    <x v="1"/>
    <m/>
  </r>
  <r>
    <n v="16"/>
    <s v="Silver Street London"/>
    <s v="Silver Street London"/>
    <s v="06-April-2026"/>
    <s v="10-June-2026"/>
    <n v="1"/>
    <s v="In Progress"/>
    <x v="1"/>
    <m/>
  </r>
  <r>
    <n v="17"/>
    <s v="FH Furniture"/>
    <s v="FH Furniture"/>
    <s v="20-February-2026"/>
    <s v="10-June-2026"/>
    <n v="2"/>
    <s v="In Progress"/>
    <x v="1"/>
    <m/>
  </r>
  <r>
    <n v="18"/>
    <s v="Surge Production"/>
    <s v="Surge Production"/>
    <s v="11-May-2026"/>
    <s v="11-June-2026"/>
    <n v="1"/>
    <s v="In Progress"/>
    <x v="0"/>
    <m/>
  </r>
  <r>
    <n v="19"/>
    <s v="Project Management"/>
    <s v="Sparta"/>
    <s v="01-April-2026"/>
    <s v="15-June-2026"/>
    <s v="ASAbhijeet Singh Software Tester"/>
    <s v="In Progress"/>
    <x v="2"/>
    <m/>
  </r>
  <r>
    <n v="20"/>
    <s v="Varsity Audio Visuals"/>
    <s v="Varsity Audio Visuals"/>
    <s v="12-June-2026"/>
    <s v="19-June-2026"/>
    <s v="AWADAman Web Developer, Avinash Designer"/>
    <s v="In Progress"/>
    <x v="0"/>
    <m/>
  </r>
  <r>
    <n v="21"/>
    <s v="SPARTA CRM"/>
    <s v="Sparta"/>
    <s v="03-April-2026"/>
    <s v="24-June-2026"/>
    <n v="3"/>
    <s v="In Progress"/>
    <x v="2"/>
    <m/>
  </r>
  <r>
    <n v="22"/>
    <s v="AMEN SHOES"/>
    <s v="AMEN SHOES"/>
    <s v="24-January-2026"/>
    <s v="30-June-2026"/>
    <n v="1"/>
    <s v="Not Started"/>
    <x v="1"/>
    <m/>
  </r>
  <r>
    <n v="23"/>
    <s v="Allen Group - DPS"/>
    <s v="Allen House"/>
    <s v="30-March-2026"/>
    <s v="30-June-2026"/>
    <n v="5"/>
    <s v="In Progress"/>
    <x v="3"/>
    <m/>
  </r>
  <r>
    <n v="24"/>
    <s v="WorkGrid"/>
    <s v="Sparta"/>
    <s v="30-March-2026"/>
    <s v="01-July-2026"/>
    <n v="6"/>
    <s v="In Progress"/>
    <x v="2"/>
    <m/>
  </r>
  <r>
    <n v="25"/>
    <s v="DM - Other Tasks"/>
    <s v="Fast Ranking - Other Tasks"/>
    <s v="23-April-2026"/>
    <s v="14-July-2026"/>
    <n v="6"/>
    <s v="Not Started"/>
    <x v="2"/>
    <m/>
  </r>
  <r>
    <n v="26"/>
    <s v="CRM V2.0"/>
    <s v="Fastranking"/>
    <s v="09-March-2026"/>
    <s v="15-July-2026"/>
    <n v="1"/>
    <s v="In Progress"/>
    <x v="2"/>
    <m/>
  </r>
  <r>
    <n v="27"/>
    <s v="Allen House"/>
    <s v="Allen House"/>
    <s v="01-March-2026"/>
    <s v="22-July-2026"/>
    <n v="2"/>
    <s v="In Progress"/>
    <x v="3"/>
    <m/>
  </r>
  <r>
    <n v="28"/>
    <s v="Allen Group - Allenkids"/>
    <s v="Allen House"/>
    <s v="30-March-2026"/>
    <s v="31-July-2026"/>
    <n v="5"/>
    <s v="In Progress"/>
    <x v="3"/>
    <m/>
  </r>
  <r>
    <n v="29"/>
    <s v="CATESBY ENGLAND"/>
    <s v="CATESBY ENGLAND"/>
    <s v="21-January-2026"/>
    <s v="31-July-2027"/>
    <n v="2"/>
    <s v="In Progress"/>
    <x v="1"/>
    <m/>
  </r>
  <r>
    <n v="30"/>
    <s v="Stabilus"/>
    <s v="Stabilus"/>
    <s v="11-December-2025"/>
    <m/>
    <s v="ASAWAbhijeet Singh Software Tester, Aman Web Developer"/>
    <s v="Not Started"/>
    <x v="1"/>
    <m/>
  </r>
  <r>
    <n v="31"/>
    <s v="QA AI AGENT - VEEREPAIRS"/>
    <s v="Sparta"/>
    <s v="13-March-2026"/>
    <m/>
    <s v="SBShivam Backend Developer"/>
    <s v="Not Started"/>
    <x v="2"/>
    <m/>
  </r>
  <r>
    <n v="32"/>
    <s v="QA AI AGENT - FASTRANKING"/>
    <s v="Sparta"/>
    <s v="16-February-2026"/>
    <m/>
    <n v="1"/>
    <s v="Not Started"/>
    <x v="2"/>
    <m/>
  </r>
  <r>
    <n v="33"/>
    <s v="SAAS-QA"/>
    <s v="Sparta"/>
    <s v="31-March-2026"/>
    <m/>
    <n v="4"/>
    <s v="Not Started"/>
    <x v="2"/>
    <m/>
  </r>
  <r>
    <n v="34"/>
    <s v="Nomads Trade Website"/>
    <s v="Nomads Trade Website"/>
    <s v="14-October-2025"/>
    <m/>
    <n v="1"/>
    <s v="In Progress"/>
    <x v="1"/>
    <m/>
  </r>
  <r>
    <n v="35"/>
    <s v="MISC WORK"/>
    <s v="Sparta"/>
    <s v="30-March-2026"/>
    <m/>
    <n v="17"/>
    <s v="Not Started"/>
    <x v="2"/>
    <m/>
  </r>
  <r>
    <n v="36"/>
    <s v="MARKETPLACE"/>
    <s v="MARKETPLACE"/>
    <s v="21-January-2026"/>
    <m/>
    <n v="1"/>
    <s v="In Progress"/>
    <x v="1"/>
    <m/>
  </r>
  <r>
    <n v="37"/>
    <s v="APS-CMS-MIGRATION"/>
    <s v="Allen House"/>
    <d v="2026-05-25T00:00:00"/>
    <d v="2026-06-16T00:00:00"/>
    <n v="5"/>
    <s v="UAT"/>
    <x v="3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7">
  <r>
    <n v="1"/>
    <s v="Briggs Safety Wear"/>
    <s v="SEO - Briggs Safety Wear"/>
    <s v="27-March-2026"/>
    <s v="15-April-2026"/>
    <n v="1"/>
    <x v="0"/>
    <s v="Wordpress"/>
    <m/>
  </r>
  <r>
    <n v="2"/>
    <s v="LAYLA GORDON"/>
    <s v="LAYLA GORDON"/>
    <s v="28-March-2026"/>
    <s v="15-April-2026"/>
    <n v="1"/>
    <x v="0"/>
    <s v="Wordpress"/>
    <m/>
  </r>
  <r>
    <n v="3"/>
    <s v="RBD Driving School"/>
    <s v="RBD Driving School"/>
    <s v="02-April-2026"/>
    <s v="15-April-2026"/>
    <s v="ASAbhijeet Singh Software Tester, Deepak Web Developer"/>
    <x v="1"/>
    <s v="Shopify"/>
    <m/>
  </r>
  <r>
    <n v="4"/>
    <s v="4 Corners Cleaning Services Ltd"/>
    <s v="4 Corners Cleaning Services Ltd"/>
    <s v="24-February-2026"/>
    <s v="15-April-2026"/>
    <s v="ASAbhijeet Singh Software Tester"/>
    <x v="0"/>
    <s v="Wordpress"/>
    <m/>
  </r>
  <r>
    <n v="5"/>
    <s v="OBIsonic Digital Photography"/>
    <s v="OBIsonic Digital Photography"/>
    <s v="12-February-2026"/>
    <s v="15-April-2026"/>
    <s v="ASAbhijeet Singh Software Tester"/>
    <x v="0"/>
    <s v="Wordpress"/>
    <m/>
  </r>
  <r>
    <n v="6"/>
    <s v="Greyson Studios"/>
    <s v="Mr. Matthew Elegbede"/>
    <s v="10-March-2026"/>
    <s v="15-April-2026"/>
    <s v="Deepak Web Developer"/>
    <x v="0"/>
    <s v="Wordpress"/>
    <m/>
  </r>
  <r>
    <n v="7"/>
    <s v="AI VOICE TELECALLER ( INBOUND + OUTBOUND )"/>
    <s v="Sparta"/>
    <s v="21-January-2026"/>
    <s v="27-April-2026"/>
    <s v="SBShivam Backend Developer"/>
    <x v="0"/>
    <s v="Inhouse"/>
    <m/>
  </r>
  <r>
    <n v="8"/>
    <s v="Annual Performance Assessment(Appraisal System)"/>
    <s v="Sparta"/>
    <s v="31-March-2026"/>
    <s v="30-April-2026"/>
    <n v="2"/>
    <x v="0"/>
    <s v="Inhouse"/>
    <m/>
  </r>
  <r>
    <n v="9"/>
    <s v="Allen House - FRANCHISE LANDING PAGE PROJECT"/>
    <s v="Allen House"/>
    <s v="30-April-2026"/>
    <s v="16-May-2026"/>
    <n v="4"/>
    <x v="0"/>
    <s v="Custom"/>
    <m/>
  </r>
  <r>
    <n v="10"/>
    <s v="JEWELLERY DESIGN CENTRE LIMITED"/>
    <s v="JEWELLERY DESIGN CENTRE LIMITED"/>
    <s v="16-April-2026"/>
    <s v="20-May-2026"/>
    <s v="AWDeepak Web Developer, Aman Web Developer"/>
    <x v="0"/>
    <s v="Shopify"/>
    <m/>
  </r>
  <r>
    <n v="11"/>
    <s v="QA-AI-AGENT-SPARTA_TELECOM"/>
    <s v="Sparta"/>
    <s v="21-April-2026"/>
    <s v="30-May-2026"/>
    <s v="SBShivam Backend Developer"/>
    <x v="1"/>
    <s v="Inhouse"/>
    <m/>
  </r>
  <r>
    <n v="12"/>
    <s v="NWT"/>
    <s v="NWT"/>
    <s v="21-January-2026"/>
    <s v="30-May-2026"/>
    <n v="2"/>
    <x v="0"/>
    <s v="Shopify"/>
    <m/>
  </r>
  <r>
    <n v="13"/>
    <s v="Digital Marketing Automation"/>
    <s v="Sparta"/>
    <s v="11-May-2026"/>
    <s v="30-May-2026"/>
    <n v="2"/>
    <x v="1"/>
    <s v="Inhouse"/>
    <m/>
  </r>
  <r>
    <n v="14"/>
    <s v="Jans Solutions Ltd"/>
    <s v="Jans Solutions Ltd"/>
    <s v="24-February-2026"/>
    <s v="30-May-2026"/>
    <n v="2"/>
    <x v="0"/>
    <s v="Wordpress"/>
    <m/>
  </r>
  <r>
    <n v="15"/>
    <s v="Nomads Saige"/>
    <s v="Nomads Saige"/>
    <s v="02-April-2026"/>
    <s v="05-June-2026"/>
    <n v="1"/>
    <x v="0"/>
    <s v="Shopify"/>
    <m/>
  </r>
  <r>
    <n v="16"/>
    <s v="Silver Street London"/>
    <s v="Silver Street London"/>
    <s v="06-April-2026"/>
    <s v="10-June-2026"/>
    <n v="1"/>
    <x v="0"/>
    <s v="Shopify"/>
    <m/>
  </r>
  <r>
    <n v="17"/>
    <s v="FH Furniture"/>
    <s v="FH Furniture"/>
    <s v="20-February-2026"/>
    <s v="10-June-2026"/>
    <n v="2"/>
    <x v="0"/>
    <s v="Shopify"/>
    <m/>
  </r>
  <r>
    <n v="18"/>
    <s v="Surge Production"/>
    <s v="Surge Production"/>
    <s v="11-May-2026"/>
    <s v="11-June-2026"/>
    <n v="1"/>
    <x v="0"/>
    <s v="Wordpress"/>
    <m/>
  </r>
  <r>
    <n v="19"/>
    <s v="Project Management"/>
    <s v="Sparta"/>
    <s v="01-April-2026"/>
    <s v="15-June-2026"/>
    <s v="ASAbhijeet Singh Software Tester"/>
    <x v="0"/>
    <s v="Inhouse"/>
    <m/>
  </r>
  <r>
    <n v="20"/>
    <s v="Varsity Audio Visuals"/>
    <s v="Varsity Audio Visuals"/>
    <s v="12-June-2026"/>
    <s v="19-June-2026"/>
    <s v="AWADAman Web Developer, Avinash Designer"/>
    <x v="0"/>
    <s v="Wordpress"/>
    <m/>
  </r>
  <r>
    <n v="21"/>
    <s v="SPARTA CRM"/>
    <s v="Sparta"/>
    <s v="03-April-2026"/>
    <s v="24-June-2026"/>
    <n v="3"/>
    <x v="0"/>
    <s v="Inhouse"/>
    <m/>
  </r>
  <r>
    <n v="22"/>
    <s v="AMEN SHOES"/>
    <s v="AMEN SHOES"/>
    <s v="24-January-2026"/>
    <s v="30-June-2026"/>
    <n v="1"/>
    <x v="1"/>
    <s v="Shopify"/>
    <m/>
  </r>
  <r>
    <n v="23"/>
    <s v="Allen Group - DPS"/>
    <s v="Allen House"/>
    <s v="30-March-2026"/>
    <s v="30-June-2026"/>
    <n v="5"/>
    <x v="0"/>
    <s v="Custom"/>
    <m/>
  </r>
  <r>
    <n v="24"/>
    <s v="WorkGrid"/>
    <s v="Sparta"/>
    <s v="30-March-2026"/>
    <s v="01-July-2026"/>
    <n v="6"/>
    <x v="0"/>
    <s v="Inhouse"/>
    <m/>
  </r>
  <r>
    <n v="25"/>
    <s v="DM - Other Tasks"/>
    <s v="Fast Ranking - Other Tasks"/>
    <s v="23-April-2026"/>
    <s v="14-July-2026"/>
    <n v="6"/>
    <x v="1"/>
    <s v="Inhouse"/>
    <m/>
  </r>
  <r>
    <n v="26"/>
    <s v="CRM V2.0"/>
    <s v="Fastranking"/>
    <s v="09-March-2026"/>
    <s v="15-July-2026"/>
    <n v="1"/>
    <x v="0"/>
    <s v="Inhouse"/>
    <m/>
  </r>
  <r>
    <n v="27"/>
    <s v="Allen House"/>
    <s v="Allen House"/>
    <s v="01-March-2026"/>
    <s v="22-July-2026"/>
    <n v="2"/>
    <x v="0"/>
    <s v="Custom"/>
    <m/>
  </r>
  <r>
    <n v="28"/>
    <s v="Allen Group - Allenkids"/>
    <s v="Allen House"/>
    <s v="30-March-2026"/>
    <s v="31-July-2026"/>
    <n v="5"/>
    <x v="0"/>
    <s v="Custom"/>
    <m/>
  </r>
  <r>
    <n v="29"/>
    <s v="CATESBY ENGLAND"/>
    <s v="CATESBY ENGLAND"/>
    <s v="21-January-2026"/>
    <s v="31-July-2027"/>
    <n v="2"/>
    <x v="0"/>
    <s v="Shopify"/>
    <m/>
  </r>
  <r>
    <n v="30"/>
    <s v="Stabilus"/>
    <s v="Stabilus"/>
    <s v="11-December-2025"/>
    <m/>
    <s v="ASAWAbhijeet Singh Software Tester, Aman Web Developer"/>
    <x v="1"/>
    <s v="Shopify"/>
    <m/>
  </r>
  <r>
    <n v="31"/>
    <s v="QA AI AGENT - VEEREPAIRS"/>
    <s v="Sparta"/>
    <s v="13-March-2026"/>
    <m/>
    <s v="SBShivam Backend Developer"/>
    <x v="1"/>
    <s v="Inhouse"/>
    <m/>
  </r>
  <r>
    <n v="32"/>
    <s v="QA AI AGENT - FASTRANKING"/>
    <s v="Sparta"/>
    <s v="16-February-2026"/>
    <m/>
    <n v="1"/>
    <x v="1"/>
    <s v="Inhouse"/>
    <m/>
  </r>
  <r>
    <n v="33"/>
    <s v="SAAS-QA"/>
    <s v="Sparta"/>
    <s v="31-March-2026"/>
    <m/>
    <n v="4"/>
    <x v="1"/>
    <s v="Inhouse"/>
    <m/>
  </r>
  <r>
    <n v="34"/>
    <s v="Nomads Trade Website"/>
    <s v="Nomads Trade Website"/>
    <s v="14-October-2025"/>
    <m/>
    <n v="1"/>
    <x v="0"/>
    <s v="Shopify"/>
    <m/>
  </r>
  <r>
    <n v="35"/>
    <s v="MISC WORK"/>
    <s v="Sparta"/>
    <s v="30-March-2026"/>
    <m/>
    <n v="17"/>
    <x v="1"/>
    <s v="Inhouse"/>
    <m/>
  </r>
  <r>
    <n v="36"/>
    <s v="MARKETPLACE"/>
    <s v="MARKETPLACE"/>
    <s v="21-January-2026"/>
    <m/>
    <n v="1"/>
    <x v="0"/>
    <s v="Shopify"/>
    <m/>
  </r>
  <r>
    <n v="37"/>
    <s v="APS-CMS-MIGRATION"/>
    <s v="Allen House"/>
    <d v="2026-05-25T00:00:00"/>
    <d v="2026-06-16T00:00:00"/>
    <n v="5"/>
    <x v="2"/>
    <s v="Custom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9">
  <r>
    <n v="1"/>
    <s v="Digital Marketing Automation"/>
    <s v="Sparta"/>
    <d v="2026-05-11T00:00:00"/>
    <d v="2026-05-30T00:00:00"/>
    <s v="Shivam"/>
    <x v="0"/>
    <s v="Inhouse"/>
    <s v="Requirements were received from the SEO team for the digital process, including monthly reporting, report view development, and keyword mapping."/>
  </r>
  <r>
    <n v="2"/>
    <s v="Fast Ranking SMO"/>
    <s v="Sparta"/>
    <d v="2026-05-11T00:00:00"/>
    <d v="2026-05-31T00:00:00"/>
    <s v="ADAvinash Designer"/>
    <x v="1"/>
    <s v="Inhouse"/>
    <s v="This is currently on hold, as resources are required to work on it."/>
  </r>
  <r>
    <n v="3"/>
    <s v="FCL(firstclasslearning)"/>
    <s v="FCL(firstclasslearning)"/>
    <d v="2026-05-16T00:00:00"/>
    <d v="2026-06-01T00:00:00"/>
    <s v="Vipin, Avinash, Nikhil &amp; Abhijeet  "/>
    <x v="0"/>
    <s v="Wordpress"/>
    <s v="Landing page has been developed , tested and deployed successfully. In addition to this SEO team is curretly working on the SEO items._x000a_Meeting is scheduled for today with the client for the payment related queries ( SEO team is currently handling this item )"/>
  </r>
  <r>
    <n v="4"/>
    <s v="Surge Production"/>
    <s v="Surge Production"/>
    <d v="2026-05-11T00:00:00"/>
    <d v="2026-06-11T00:00:00"/>
    <s v="Deepak , Abhijeet"/>
    <x v="2"/>
    <s v="Wordpress"/>
    <s v="Web testing is in progress, ETA : Monday ( SOD )"/>
  </r>
  <r>
    <n v="5"/>
    <s v="Nomads Clothing"/>
    <s v="Nomads Clothing"/>
    <d v="2026-05-14T00:00:00"/>
    <d v="2026-06-13T00:00:00"/>
    <s v="NWNikhil  Web Developer"/>
    <x v="3"/>
    <s v="Shopify"/>
    <s v="Deployed Successfully, Taking followup from the client is everything is good at their side."/>
  </r>
  <r>
    <n v="6"/>
    <s v="APS-CMS-MIGRATION"/>
    <s v="Allen House"/>
    <d v="2026-05-25T00:00:00"/>
    <d v="2026-06-16T00:00:00"/>
    <s v="Abhijeet , Vani , Suraj , Raunik &amp; Nikhil"/>
    <x v="2"/>
    <s v="Custom"/>
    <s v="UAT walkthrough has been provided by Abhijeet to the client and waiting for update from their side."/>
  </r>
  <r>
    <n v="7"/>
    <s v="Varsity Audio Visuals"/>
    <s v="Varsity Audio Visuals"/>
    <d v="2026-06-12T00:00:00"/>
    <d v="2026-06-19T00:00:00"/>
    <s v="AWADAman Web Developer, Avinash Designer"/>
    <x v="0"/>
    <s v="Wordpress"/>
    <s v="In progress, team is working on homepage and once that is done team needs to test the same."/>
  </r>
  <r>
    <n v="8"/>
    <s v="Eagle Properties"/>
    <s v="Eagle Properties"/>
    <d v="2026-06-05T00:00:00"/>
    <d v="2026-06-20T00:00:00"/>
    <s v="Deepak Web Developer"/>
    <x v="0"/>
    <s v="Wordpress"/>
    <s v="Followup sent from our side , waiting for the client to response."/>
  </r>
  <r>
    <n v="9"/>
    <s v="FH Furniture"/>
    <s v="FH Furniture"/>
    <d v="2026-02-20T00:00:00"/>
    <d v="2026-06-10T00:00:00"/>
    <s v="Nikhil, Deepak &amp; Abhijeet"/>
    <x v="0"/>
    <s v="Shopify"/>
    <s v="Need to schedule a call with the client on Monday."/>
  </r>
  <r>
    <n v="10"/>
    <s v="Landing Page Creation"/>
    <s v="DrivewithGreta"/>
    <d v="2026-06-12T00:00:00"/>
    <d v="2026-06-13T00:00:00"/>
    <s v="Deepak"/>
    <x v="0"/>
    <s v="Wordpress"/>
    <s v="Landing page has been created , web testing is in progress"/>
  </r>
  <r>
    <n v="11"/>
    <s v="Briggs Safety Wear"/>
    <s v="SEO - Briggs Safety Wear"/>
    <s v="27-March-2026"/>
    <s v="15-April-2026"/>
    <s v="Aman"/>
    <x v="3"/>
    <s v="Wordpress"/>
    <s v="Done"/>
  </r>
  <r>
    <n v="12"/>
    <s v="LAYLA GORDON"/>
    <s v="LAYLA GORDON"/>
    <s v="28-March-2026"/>
    <s v="15-April-2026"/>
    <s v="Aman"/>
    <x v="3"/>
    <s v="Wordpress"/>
    <s v="Done"/>
  </r>
  <r>
    <n v="13"/>
    <s v="RBD Driving School"/>
    <s v="RBD Driving School"/>
    <s v="02-April-2026"/>
    <s v="15-April-2026"/>
    <s v="ASDWAbhijeet Singh Software Tester, Deepak Web Developer"/>
    <x v="0"/>
    <s v="Shopify"/>
    <s v="Demo Deployed, But no response from the client side"/>
  </r>
  <r>
    <n v="14"/>
    <s v="4 Corners Cleaning Services Ltd"/>
    <s v="4 Corners Cleaning Services Ltd"/>
    <s v="24-February-2026"/>
    <s v="15-April-2026"/>
    <s v="ASAbhijeet Singh Software Tester"/>
    <x v="0"/>
    <s v="Wordpress"/>
    <s v="No Response from Client"/>
  </r>
  <r>
    <n v="15"/>
    <s v="OBIsonic Digital Photography"/>
    <s v="OBIsonic Digital Photography"/>
    <s v="12-February-2026"/>
    <s v="15-April-2026"/>
    <s v="ASAbhijeet Singh Software Tester"/>
    <x v="0"/>
    <s v="Wordpress"/>
    <s v="No Response from Client"/>
  </r>
  <r>
    <n v="16"/>
    <s v="Greyson Studios"/>
    <s v="Mr. Matthew Elegbede"/>
    <s v="10-March-2026"/>
    <s v="15-April-2026"/>
    <s v="DWDeepak Web Developer"/>
    <x v="0"/>
    <s v="Wordpress"/>
    <s v="Waiting for client response"/>
  </r>
  <r>
    <n v="17"/>
    <s v="JEWELLERY DESIGN CENTRE LIMITED"/>
    <s v="JEWELLERY DESIGN CENTRE LIMITED"/>
    <s v="16-April-2026"/>
    <s v="20-May-2026"/>
    <s v="DWAWDeepak Web Developer, Aman Web Developer"/>
    <x v="3"/>
    <s v="Shopify"/>
    <s v="Done"/>
  </r>
  <r>
    <n v="18"/>
    <s v="NWT"/>
    <s v="NWT"/>
    <s v="21-January-2026"/>
    <s v="30-May-2026"/>
    <s v="Aman "/>
    <x v="3"/>
    <s v="Shopify"/>
    <s v="Done"/>
  </r>
  <r>
    <n v="19"/>
    <s v="Jans Solutions Ltd"/>
    <s v="Jans Solutions Ltd"/>
    <s v="24-February-2026"/>
    <s v="30-May-2026"/>
    <s v="Aman "/>
    <x v="3"/>
    <s v="Wordpress"/>
    <s v="Done"/>
  </r>
  <r>
    <n v="20"/>
    <s v="Nomads Saige"/>
    <s v="Nomads Saige"/>
    <s v="02-April-2026"/>
    <s v="05-June-2026"/>
    <s v="Aman "/>
    <x v="3"/>
    <s v="Shopify"/>
    <s v="Done"/>
  </r>
  <r>
    <n v="21"/>
    <s v="Silver Street London"/>
    <s v="Silver Street London"/>
    <s v="06-April-2026"/>
    <s v="10-June-2026"/>
    <s v="Aman "/>
    <x v="3"/>
    <s v="Shopify"/>
    <s v="Done"/>
  </r>
  <r>
    <n v="22"/>
    <s v="FH Furniture"/>
    <s v="FH Furniture"/>
    <s v="20-February-2026"/>
    <s v="10-June-2026"/>
    <s v="Deepak &amp; Nikhil"/>
    <x v="0"/>
    <s v="Shopify"/>
    <s v="In Progress"/>
  </r>
  <r>
    <n v="23"/>
    <s v="Varsity Audio Visuals"/>
    <s v="Varsity Audio Visuals"/>
    <s v="12-June-2026"/>
    <s v="19-June-2026"/>
    <s v="AWADAman Web Developer, Avinash Designer"/>
    <x v="3"/>
    <s v="Wordpress"/>
    <s v="Done"/>
  </r>
  <r>
    <n v="24"/>
    <s v="AMEN SHOES"/>
    <s v="AMEN SHOES"/>
    <s v="24-January-2026"/>
    <s v="30-June-2026"/>
    <s v="Aman"/>
    <x v="3"/>
    <s v="Shopify"/>
    <s v="Done"/>
  </r>
  <r>
    <n v="25"/>
    <s v="Allen Group - DPS"/>
    <s v="Allen House"/>
    <s v="30-March-2026"/>
    <s v="30-June-2026"/>
    <s v="Suraj, Raunik , Abhijeet &amp; Vani"/>
    <x v="3"/>
    <s v="Custom"/>
    <s v="Done"/>
  </r>
  <r>
    <n v="26"/>
    <s v="Allen House"/>
    <s v="Allen House"/>
    <s v="01-March-2026"/>
    <s v="22-July-2026"/>
    <s v="Suraj, Raunik , Abhijeet &amp; Vani"/>
    <x v="3"/>
    <s v="Custom"/>
    <s v="Done"/>
  </r>
  <r>
    <n v="27"/>
    <s v="Allen Group - Allenkids"/>
    <s v="Allen House"/>
    <s v="30-March-2026"/>
    <s v="31-July-2026"/>
    <s v="Suraj, Raunik , Abhijeet &amp; Vani"/>
    <x v="3"/>
    <s v="Custom"/>
    <s v="Done"/>
  </r>
  <r>
    <n v="28"/>
    <s v="READING PROPERTIES GROUP LTD"/>
    <s v="Reading Properties Group"/>
    <s v="16-June-2026"/>
    <s v="16-September-2026"/>
    <s v="Sandeep , Avinash , Abhijeet, Deepak &amp; Aman"/>
    <x v="0"/>
    <s v="Wordpress"/>
    <s v="In Progress"/>
  </r>
  <r>
    <n v="29"/>
    <s v="CATESBY ENGLAND"/>
    <s v="CATESBY ENGLAND"/>
    <s v="21-January-2026"/>
    <s v="31-July-2027"/>
    <s v="Aman"/>
    <x v="3"/>
    <s v="Shopify"/>
    <s v="Done"/>
  </r>
  <r>
    <n v="30"/>
    <s v="Nomads Trade Website"/>
    <s v="Nomads Trade Website"/>
    <s v="14-October-2025"/>
    <d v="2026-06-30T00:00:00"/>
    <s v="Nikhil"/>
    <x v="3"/>
    <s v="Shopify"/>
    <s v="Done"/>
  </r>
  <r>
    <n v="31"/>
    <s v="MARKETPLACE"/>
    <s v="MARKETPLACE"/>
    <s v="21-January-2026"/>
    <d v="2026-06-30T00:00:00"/>
    <s v="Aman"/>
    <x v="3"/>
    <s v="Shopify"/>
    <s v="Done"/>
  </r>
  <r>
    <n v="32"/>
    <s v="Stabilus"/>
    <s v="Stabilus"/>
    <s v="11-December-2025"/>
    <d v="2026-06-30T00:00:00"/>
    <s v="ASAWAbhijeet Singh Software Tester, Aman Web Developer"/>
    <x v="3"/>
    <s v="Shopify"/>
    <s v="Done"/>
  </r>
  <r>
    <n v="33"/>
    <s v="FOOTWEAR DEPOT - 1"/>
    <s v="FOOTWEAR DEPOT - 1"/>
    <s v="11-February-2026"/>
    <s v="13-February-2026"/>
    <s v="AWNWAman Web Developer, Nikhil  Web Developer"/>
    <x v="3"/>
    <s v="Shopify"/>
    <s v="Done"/>
  </r>
  <r>
    <n v="34"/>
    <s v="EA Driving School"/>
    <s v="EA Driving School"/>
    <s v="27-October-2025"/>
    <s v="09-April-2026"/>
    <s v="ASAbhijeet Singh Software Tester"/>
    <x v="3"/>
    <s v="Wordpress"/>
    <s v="Done"/>
  </r>
  <r>
    <n v="35"/>
    <s v="RRJ Design"/>
    <s v="RRJ Design"/>
    <s v="24-February-2026"/>
    <s v="09-April-2026"/>
    <s v="ASDWAbhijeet Singh Software Tester, Deepak Web Developer"/>
    <x v="3"/>
    <s v="Wordpress"/>
    <s v="Done"/>
  </r>
  <r>
    <n v="36"/>
    <s v="Agid Van"/>
    <s v="Agid Van"/>
    <s v="03-October-2025"/>
    <s v="13-April-2026"/>
    <s v="ASAWAbhijeet Singh Software Tester, Aman Web Developer"/>
    <x v="3"/>
    <s v="Wordpress"/>
    <s v="Done"/>
  </r>
  <r>
    <n v="37"/>
    <s v="ACE LEARNING PLUS"/>
    <s v="ACE LEARNING PLUS"/>
    <s v="02-March-2026"/>
    <s v="15-April-2026"/>
    <s v="AWASAman Web Developer, Abhijeet Singh Software Tester"/>
    <x v="1"/>
    <s v="Wordpress"/>
    <s v="Need to get the interal confirmation from the internal team"/>
  </r>
  <r>
    <n v="38"/>
    <s v="Boiler Gas Tech"/>
    <s v="Boiler Gas Tech"/>
    <s v="07-October-2025"/>
    <s v="15-April-2026"/>
    <s v="+1"/>
    <x v="3"/>
    <s v="Wordpress"/>
    <s v="Done"/>
  </r>
  <r>
    <n v="39"/>
    <s v="Julian Taxi"/>
    <s v="Julian Taxi"/>
    <s v="16-October-2025"/>
    <s v="15-April-2026"/>
    <s v="ASAbhijeet Singh Software Tester"/>
    <x v="3"/>
    <s v="Wordpress"/>
    <s v="Done"/>
  </r>
  <r>
    <n v="40"/>
    <s v="Auto Market Place"/>
    <s v="Auto Market Place"/>
    <s v="29-November-2025"/>
    <s v="15-April-2026"/>
    <s v="DWNWDeepak Web Developer, Nikhil  Web Developer"/>
    <x v="3"/>
    <s v="Wordpress"/>
    <s v="Done"/>
  </r>
  <r>
    <n v="41"/>
    <s v="Dialogue Fosters"/>
    <s v="Dialogue Fosters"/>
    <s v="14-October-2025"/>
    <s v="15-April-2026"/>
    <s v="AWAman Web Developer"/>
    <x v="3"/>
    <s v="Wordpress"/>
    <s v="Done"/>
  </r>
  <r>
    <n v="42"/>
    <s v="Wood and Home 99 Location pages"/>
    <s v="Wood and Home 99 Location pages"/>
    <s v="22-October-2025"/>
    <s v="15-April-2026"/>
    <s v="ASAbhijeet Singh Software Tester"/>
    <x v="3"/>
    <s v="Wordpress"/>
    <s v="Done"/>
  </r>
  <r>
    <n v="43"/>
    <s v="Veedux Production"/>
    <s v="Veedux Production"/>
    <s v="25-October-2025"/>
    <s v="15-April-2026"/>
    <s v="ASAbhijeet Singh Software Tester"/>
    <x v="3"/>
    <s v="Wordpress"/>
    <s v="Done"/>
  </r>
  <r>
    <n v="44"/>
    <s v="Eden's Edge"/>
    <s v="Eden's Edge"/>
    <s v="16-February-2026"/>
    <s v="15-April-2026"/>
    <n v="0"/>
    <x v="3"/>
    <s v="Wordpress"/>
    <s v="Done"/>
  </r>
  <r>
    <n v="45"/>
    <s v="Kitchen 3D Limited"/>
    <s v="Kitchen 3D Limited"/>
    <s v="17-December-2025"/>
    <s v="15-April-2026"/>
    <s v="ASAbhijeet Singh Software Tester"/>
    <x v="3"/>
    <s v="Wordpress"/>
    <s v="Done"/>
  </r>
  <r>
    <n v="46"/>
    <s v="Graphic Design Print"/>
    <s v="Graphic Design Print"/>
    <s v="08-December-2025"/>
    <s v="15-April-2026"/>
    <s v="DWDeepak Web Developer"/>
    <x v="3"/>
    <s v="Wordpress"/>
    <s v="Done"/>
  </r>
  <r>
    <n v="47"/>
    <s v="Corby Motors"/>
    <s v="Corby Motors"/>
    <s v="23-February-2026"/>
    <s v="20-April-2026"/>
    <s v="DWNWDeepak Web Developer, Nikhil  Web Developer"/>
    <x v="1"/>
    <s v="Wordpress"/>
    <s v="Not live , Need to get update from internal team ( UAT )"/>
  </r>
  <r>
    <n v="48"/>
    <s v="Kent Wasp Control"/>
    <s v="Kent Wasp Control"/>
    <s v="16-March-2026"/>
    <s v="24-April-2026"/>
    <s v="DWAWDeepak Web Developer, Aman Web Developer"/>
    <x v="3"/>
    <s v="Wordpress"/>
    <s v="Done"/>
  </r>
  <r>
    <n v="49"/>
    <s v="Patrick Shoes"/>
    <s v="Patrick Shoes"/>
    <s v="13-April-2026"/>
    <s v="24-April-2026"/>
    <s v="DWVFDeepak Web Developer, Vani Frontend developer"/>
    <x v="3"/>
    <s v="Custom"/>
    <s v="Done"/>
  </r>
  <r>
    <n v="50"/>
    <s v="Adam's Painting &amp; Decorating"/>
    <s v="Adam's Painting &amp; Decorating"/>
    <s v="13-March-2026"/>
    <s v="16-May-2026"/>
    <s v="+1"/>
    <x v="3"/>
    <s v="Wordpress"/>
    <s v="Done"/>
  </r>
  <r>
    <n v="51"/>
    <s v="Allen House - FRANCHISE LANDING PAGE PROJECT"/>
    <s v="Allen House - FRANCHISE LANDING PAGE PROJECT"/>
    <s v="30-April-2026"/>
    <s v="16-May-2026"/>
    <s v="+4"/>
    <x v="3"/>
    <s v="Custom"/>
    <s v="Done"/>
  </r>
  <r>
    <n v="52"/>
    <s v="DRC Auto Sales"/>
    <s v="DRC Auto Sales"/>
    <s v="29-January-2026"/>
    <s v="26-May-2026"/>
    <s v="ASNWAbhijeet Singh Software Tester, Nikhil  Web Developer"/>
    <x v="3"/>
    <s v="Wordpress"/>
    <s v="Done"/>
  </r>
  <r>
    <n v="53"/>
    <s v="Solar Panel Bird Proofing Ken"/>
    <s v="Solar Panel Bird Proofing Ken"/>
    <s v="18-March-2026"/>
    <s v="20-April-2026"/>
    <s v="Deepak"/>
    <x v="3"/>
    <s v="Wordpress"/>
    <s v="Done"/>
  </r>
  <r>
    <n v="54"/>
    <s v="SSL"/>
    <s v="SSL"/>
    <s v="28-January-2026"/>
    <n v="0"/>
    <s v="AWNWAman Web Developer, Nikhil  Web Developer"/>
    <x v="3"/>
    <s v="Shopify"/>
    <s v="Done"/>
  </r>
  <r>
    <n v="55"/>
    <s v="iDrive Auto"/>
    <s v="iDrive Auto"/>
    <s v="11-December-2025"/>
    <n v="0"/>
    <s v="AWAman Web Developer"/>
    <x v="3"/>
    <s v="Wordpress"/>
    <s v="Done"/>
  </r>
  <r>
    <n v="56"/>
    <s v="Optimum Global Care"/>
    <s v="Optimum Global Care"/>
    <s v="09-October-2025"/>
    <n v="0"/>
    <n v="0"/>
    <x v="1"/>
    <s v="Wordpress"/>
    <s v="Not confirmed. "/>
  </r>
  <r>
    <n v="57"/>
    <s v="Know &amp; Grow Tutors"/>
    <s v="Know &amp; Grow Tutors"/>
    <s v="14-October-2025"/>
    <n v="0"/>
    <s v="NWNikhil  Web Developer"/>
    <x v="3"/>
    <s v="Wordpress"/>
    <s v="Done"/>
  </r>
  <r>
    <n v="58"/>
    <s v="Mk Global Consultant"/>
    <s v="Mk Global Consultant"/>
    <s v="06-October-2025"/>
    <n v="0"/>
    <s v="+2"/>
    <x v="3"/>
    <s v="Wordpress"/>
    <s v="Done"/>
  </r>
  <r>
    <n v="59"/>
    <s v="DelaVogue Fashion"/>
    <s v="DelaVogue Fashion"/>
    <s v="10-October-2025"/>
    <n v="0"/>
    <s v="+1"/>
    <x v="3"/>
    <s v="Wordpress"/>
    <s v="Done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67">
  <r>
    <n v="1"/>
    <s v="FCL(firstclasslearning)"/>
    <s v="FCL(firstclasslearning)"/>
    <d v="2026-05-16T00:00:00"/>
    <d v="2026-06-01T00:00:00"/>
    <s v="Vipin, Avinash, Nikhil &amp; Abhijeet  "/>
    <x v="0"/>
    <s v="Wordpress"/>
    <s v="Camping is live. "/>
  </r>
  <r>
    <n v="2"/>
    <s v="Surge Production"/>
    <s v="Surge Production"/>
    <d v="2026-05-11T00:00:00"/>
    <d v="2026-06-11T00:00:00"/>
    <s v="Deepak , Abhijeet"/>
    <x v="1"/>
    <s v="Wordpress"/>
    <s v="Waiting for client response - UAT Pending from client side."/>
  </r>
  <r>
    <n v="3"/>
    <s v="Nomads Clothing"/>
    <s v="Nomads Clothing"/>
    <d v="2026-05-14T00:00:00"/>
    <d v="2026-06-13T00:00:00"/>
    <s v="NWNikhil  Web Developer"/>
    <x v="0"/>
    <s v="Shopify"/>
    <s v="Deployed Successfully, Taking followup from the client is everything is good at their side."/>
  </r>
  <r>
    <n v="4"/>
    <s v="APS-CMS-MIGRATION"/>
    <s v="Allen House"/>
    <d v="2026-05-25T00:00:00"/>
    <d v="2026-06-16T00:00:00"/>
    <s v="Abhijeet , Vani , Suraj , Raunik &amp; Nikhil"/>
    <x v="0"/>
    <s v="Custom"/>
    <s v="Done"/>
  </r>
  <r>
    <n v="5"/>
    <s v="Varsity Audio Visuals"/>
    <s v="Varsity Audio Visuals"/>
    <d v="2026-06-12T00:00:00"/>
    <d v="2026-06-19T00:00:00"/>
    <s v="AWADAman Web Developer, Avinash Designer"/>
    <x v="2"/>
    <s v="Wordpress"/>
    <s v="In progress, team is working on homepage and once that is done team needs to test the same."/>
  </r>
  <r>
    <n v="6"/>
    <s v="Eagle Properties"/>
    <s v="Eagle Properties"/>
    <d v="2026-06-05T00:00:00"/>
    <d v="2026-06-20T00:00:00"/>
    <s v="Deepak Web Developer"/>
    <x v="2"/>
    <s v="Wordpress"/>
    <s v="Need images from Avinash for the add-ons services, ETA : 29th June, 2026"/>
  </r>
  <r>
    <n v="7"/>
    <s v="FH Furniture"/>
    <s v="FH Furniture"/>
    <d v="2026-02-20T00:00:00"/>
    <d v="2026-06-10T00:00:00"/>
    <s v="Nikhil, Deepak &amp; Abhijeet"/>
    <x v="2"/>
    <s v="Shopify"/>
    <s v="Need to follow-up regarding the client."/>
  </r>
  <r>
    <n v="8"/>
    <s v="Landing Page Creation"/>
    <s v="DrivewithGreta"/>
    <d v="2026-06-12T00:00:00"/>
    <d v="2026-06-13T00:00:00"/>
    <s v="Deepak"/>
    <x v="0"/>
    <s v="Wordpress"/>
    <s v="Done."/>
  </r>
  <r>
    <n v="9"/>
    <s v="Briggs Safety Wear"/>
    <s v="SEO - Briggs Safety Wear"/>
    <s v="27-March-2026"/>
    <s v="15-April-2026"/>
    <s v="Aman"/>
    <x v="0"/>
    <s v="Wordpress"/>
    <s v="Done"/>
  </r>
  <r>
    <n v="10"/>
    <s v="LAYLA GORDON"/>
    <s v="LAYLA GORDON"/>
    <s v="28-March-2026"/>
    <s v="15-April-2026"/>
    <s v="Aman"/>
    <x v="0"/>
    <s v="Wordpress"/>
    <s v="Done"/>
  </r>
  <r>
    <n v="11"/>
    <s v="RBD Driving School"/>
    <s v="RBD Driving School"/>
    <s v="02-April-2026"/>
    <s v="15-April-2026"/>
    <s v="ASDWAbhijeet Singh Software Tester, Deepak Web Developer"/>
    <x v="2"/>
    <s v="Shopify"/>
    <s v="Demo Deployed, But no response from the client side"/>
  </r>
  <r>
    <n v="12"/>
    <s v="4 Corners Cleaning Services Ltd"/>
    <s v="4 Corners Cleaning Services Ltd"/>
    <s v="24-February-2026"/>
    <s v="15-April-2026"/>
    <s v="ASAbhijeet Singh Software Tester"/>
    <x v="2"/>
    <s v="Wordpress"/>
    <s v="No Response from Client"/>
  </r>
  <r>
    <n v="13"/>
    <s v="OBIsonic Digital Photography"/>
    <s v="OBIsonic Digital Photography"/>
    <s v="12-February-2026"/>
    <s v="15-April-2026"/>
    <s v="ASAbhijeet Singh Software Tester"/>
    <x v="2"/>
    <s v="Wordpress"/>
    <s v="No Response from Client"/>
  </r>
  <r>
    <n v="14"/>
    <s v="Greyson Studios"/>
    <s v="Mr. Matthew Elegbede"/>
    <s v="10-March-2026"/>
    <s v="15-April-2026"/>
    <s v="DWDeepak Web Developer"/>
    <x v="2"/>
    <s v="Wordpress"/>
    <s v="Waiting for client response - Need to followup."/>
  </r>
  <r>
    <n v="15"/>
    <s v="JEWELLERY DESIGN CENTRE LIMITED"/>
    <s v="JEWELLERY DESIGN CENTRE LIMITED"/>
    <s v="16-April-2026"/>
    <s v="20-May-2026"/>
    <s v="DWAWDeepak Web Developer, Aman Web Developer"/>
    <x v="0"/>
    <s v="Shopify"/>
    <s v="Done"/>
  </r>
  <r>
    <n v="16"/>
    <s v="NWT"/>
    <s v="NWT"/>
    <s v="21-January-2026"/>
    <s v="30-May-2026"/>
    <s v="Aman "/>
    <x v="0"/>
    <s v="Shopify"/>
    <s v="Done"/>
  </r>
  <r>
    <n v="17"/>
    <s v="Jans Solutions Ltd"/>
    <s v="Jans Solutions Ltd"/>
    <s v="24-February-2026"/>
    <s v="30-May-2026"/>
    <s v="Aman "/>
    <x v="0"/>
    <s v="Wordpress"/>
    <s v="Done"/>
  </r>
  <r>
    <n v="18"/>
    <s v="Nomads Saige"/>
    <s v="Nomads Saige"/>
    <s v="02-April-2026"/>
    <s v="05-June-2026"/>
    <s v="Aman "/>
    <x v="0"/>
    <s v="Shopify"/>
    <s v="Done"/>
  </r>
  <r>
    <n v="19"/>
    <s v="Silver Street London"/>
    <s v="Silver Street London"/>
    <s v="06-April-2026"/>
    <s v="10-June-2026"/>
    <s v="Aman "/>
    <x v="0"/>
    <s v="Shopify"/>
    <s v="Done"/>
  </r>
  <r>
    <n v="20"/>
    <s v="Varsity Audio Visuals"/>
    <s v="Varsity Audio Visuals"/>
    <s v="12-June-2026"/>
    <s v="19-June-2026"/>
    <s v="AWADAman Web Developer, Avinash Designer"/>
    <x v="0"/>
    <s v="Wordpress"/>
    <s v="Done"/>
  </r>
  <r>
    <n v="21"/>
    <s v="AMEN SHOES"/>
    <s v="AMEN SHOES"/>
    <s v="24-January-2026"/>
    <s v="30-June-2026"/>
    <s v="Aman"/>
    <x v="0"/>
    <s v="Shopify"/>
    <s v="Done"/>
  </r>
  <r>
    <n v="22"/>
    <s v="Allen Group - DPS"/>
    <s v="Allen House"/>
    <s v="30-March-2026"/>
    <s v="30-June-2026"/>
    <s v="Suraj, Raunik , Abhijeet &amp; Vani"/>
    <x v="0"/>
    <s v="Custom"/>
    <s v="Done"/>
  </r>
  <r>
    <n v="23"/>
    <s v="Allen House"/>
    <s v="Allen House"/>
    <s v="01-March-2026"/>
    <s v="22-July-2026"/>
    <s v="Suraj, Raunik , Abhijeet &amp; Vani"/>
    <x v="0"/>
    <s v="Custom"/>
    <s v="Done"/>
  </r>
  <r>
    <n v="24"/>
    <s v="Allen Group - Allenkids"/>
    <s v="Allen House"/>
    <s v="30-March-2026"/>
    <s v="31-July-2026"/>
    <s v="Suraj, Raunik , Abhijeet &amp; Vani"/>
    <x v="0"/>
    <s v="Custom"/>
    <s v="Done"/>
  </r>
  <r>
    <n v="25"/>
    <s v="READING PROPERTIES GROUP LTD"/>
    <s v="Reading Properties Group"/>
    <s v="16-June-2026"/>
    <s v="16-September-2026"/>
    <s v="Sandeep , Avinash , Abhijeet, Deepak &amp; Aman"/>
    <x v="2"/>
    <s v="Wordpress"/>
    <s v="In Progress"/>
  </r>
  <r>
    <n v="26"/>
    <s v="CATESBY ENGLAND"/>
    <s v="CATESBY ENGLAND"/>
    <s v="21-January-2026"/>
    <s v="31-July-2027"/>
    <s v="Aman"/>
    <x v="0"/>
    <s v="Shopify"/>
    <s v="Done"/>
  </r>
  <r>
    <n v="27"/>
    <s v="Nomads Trade Website"/>
    <s v="Nomads Trade Website"/>
    <s v="14-October-2025"/>
    <d v="2026-06-30T00:00:00"/>
    <s v="Nikhil"/>
    <x v="0"/>
    <s v="Shopify"/>
    <s v="Done"/>
  </r>
  <r>
    <n v="28"/>
    <s v="MARKETPLACE"/>
    <s v="MARKETPLACE"/>
    <s v="21-January-2026"/>
    <d v="2026-06-30T00:00:00"/>
    <s v="Aman"/>
    <x v="0"/>
    <s v="Shopify"/>
    <s v="Done"/>
  </r>
  <r>
    <n v="29"/>
    <s v="Stabilus"/>
    <s v="Stabilus"/>
    <s v="11-December-2025"/>
    <d v="2026-06-30T00:00:00"/>
    <s v="ASAWAbhijeet Singh Software Tester, Aman Web Developer"/>
    <x v="0"/>
    <s v="Shopify"/>
    <s v="Done"/>
  </r>
  <r>
    <n v="30"/>
    <s v="FOOTWEAR DEPOT - 1"/>
    <s v="FOOTWEAR DEPOT - 1"/>
    <s v="11-February-2026"/>
    <s v="13-February-2026"/>
    <s v="AWNWAman Web Developer, Nikhil  Web Developer"/>
    <x v="0"/>
    <s v="Shopify"/>
    <s v="Done"/>
  </r>
  <r>
    <n v="31"/>
    <s v="EA Driving School"/>
    <s v="EA Driving School"/>
    <s v="27-October-2025"/>
    <s v="09-April-2026"/>
    <s v="ASAbhijeet Singh Software Tester"/>
    <x v="0"/>
    <s v="Wordpress"/>
    <s v="Done"/>
  </r>
  <r>
    <n v="32"/>
    <s v="RRJ Design"/>
    <s v="RRJ Design"/>
    <s v="24-February-2026"/>
    <s v="09-April-2026"/>
    <s v="ASDWAbhijeet Singh Software Tester, Deepak Web Developer"/>
    <x v="0"/>
    <s v="Wordpress"/>
    <s v="Done"/>
  </r>
  <r>
    <n v="33"/>
    <s v="Agid Van"/>
    <s v="Agid Van"/>
    <s v="03-October-2025"/>
    <s v="13-April-2026"/>
    <s v="ASAWAbhijeet Singh Software Tester, Aman Web Developer"/>
    <x v="0"/>
    <s v="Wordpress"/>
    <s v="Done"/>
  </r>
  <r>
    <n v="34"/>
    <s v="ACE LEARNING PLUS"/>
    <s v="ACE LEARNING PLUS"/>
    <s v="02-March-2026"/>
    <s v="15-April-2026"/>
    <s v="AWASAman Web Developer, Abhijeet Singh Software Tester"/>
    <x v="3"/>
    <s v="Wordpress"/>
    <s v="Need to get the interal confirmation from the internal team"/>
  </r>
  <r>
    <n v="35"/>
    <s v="Boiler Gas Tech"/>
    <s v="Boiler Gas Tech"/>
    <s v="07-October-2025"/>
    <s v="15-April-2026"/>
    <s v="+1"/>
    <x v="0"/>
    <s v="Wordpress"/>
    <s v="Done"/>
  </r>
  <r>
    <n v="36"/>
    <s v="Julian Taxi"/>
    <s v="Julian Taxi"/>
    <s v="16-October-2025"/>
    <s v="15-April-2026"/>
    <s v="ASAbhijeet Singh Software Tester"/>
    <x v="0"/>
    <s v="Wordpress"/>
    <s v="Done"/>
  </r>
  <r>
    <n v="37"/>
    <s v="Auto Market Place"/>
    <s v="Auto Market Place"/>
    <s v="29-November-2025"/>
    <s v="15-April-2026"/>
    <s v="DWNWDeepak Web Developer, Nikhil  Web Developer"/>
    <x v="0"/>
    <s v="Wordpress"/>
    <s v="Done"/>
  </r>
  <r>
    <n v="38"/>
    <s v="Dialogue Fosters"/>
    <s v="Dialogue Fosters"/>
    <s v="14-October-2025"/>
    <s v="15-April-2026"/>
    <s v="AWAman Web Developer"/>
    <x v="0"/>
    <s v="Wordpress"/>
    <s v="Done"/>
  </r>
  <r>
    <n v="39"/>
    <s v="Wood and Home 99 Location pages"/>
    <s v="Wood and Home 99 Location pages"/>
    <s v="22-October-2025"/>
    <s v="15-April-2026"/>
    <s v="ASAbhijeet Singh Software Tester"/>
    <x v="0"/>
    <s v="Wordpress"/>
    <s v="Done"/>
  </r>
  <r>
    <n v="40"/>
    <s v="Veedux Production"/>
    <s v="Veedux Production"/>
    <s v="25-October-2025"/>
    <s v="15-April-2026"/>
    <s v="ASAbhijeet Singh Software Tester"/>
    <x v="0"/>
    <s v="Wordpress"/>
    <s v="Done"/>
  </r>
  <r>
    <n v="41"/>
    <s v="Eden's Edge"/>
    <s v="Eden's Edge"/>
    <s v="16-February-2026"/>
    <s v="15-April-2026"/>
    <n v="0"/>
    <x v="0"/>
    <s v="Wordpress"/>
    <s v="Done"/>
  </r>
  <r>
    <n v="42"/>
    <s v="Kitchen 3D Limited"/>
    <s v="Kitchen 3D Limited"/>
    <s v="17-December-2025"/>
    <s v="15-April-2026"/>
    <s v="ASAbhijeet Singh Software Tester"/>
    <x v="0"/>
    <s v="Wordpress"/>
    <s v="Done"/>
  </r>
  <r>
    <n v="43"/>
    <s v="Graphic Design Print"/>
    <s v="Graphic Design Print"/>
    <s v="08-December-2025"/>
    <s v="15-April-2026"/>
    <s v="DWDeepak Web Developer"/>
    <x v="0"/>
    <s v="Wordpress"/>
    <s v="Done"/>
  </r>
  <r>
    <n v="44"/>
    <s v="Corby Motors"/>
    <s v="Corby Motors"/>
    <s v="23-February-2026"/>
    <s v="20-April-2026"/>
    <s v="DWNWDeepak Web Developer, Nikhil  Web Developer"/>
    <x v="3"/>
    <s v="Wordpress"/>
    <s v="Not live , Need to get update from internal team ( UAT )"/>
  </r>
  <r>
    <n v="45"/>
    <s v="Kent Wasp Control"/>
    <s v="Kent Wasp Control"/>
    <s v="16-March-2026"/>
    <s v="24-April-2026"/>
    <s v="DWAWDeepak Web Developer, Aman Web Developer"/>
    <x v="0"/>
    <s v="Wordpress"/>
    <s v="Done"/>
  </r>
  <r>
    <n v="46"/>
    <s v="Patrick Shoes"/>
    <s v="Patrick Shoes"/>
    <s v="13-April-2026"/>
    <s v="24-April-2026"/>
    <s v="DWVFDeepak Web Developer, Vani Frontend developer"/>
    <x v="0"/>
    <s v="Custom"/>
    <s v="Done"/>
  </r>
  <r>
    <n v="47"/>
    <s v="Adam's Painting &amp; Decorating"/>
    <s v="Adam's Painting &amp; Decorating"/>
    <s v="13-March-2026"/>
    <s v="16-May-2026"/>
    <s v="+1"/>
    <x v="0"/>
    <s v="Wordpress"/>
    <s v="Done"/>
  </r>
  <r>
    <n v="48"/>
    <s v="Allen House - FRANCHISE LANDING PAGE PROJECT"/>
    <s v="Allen House - FRANCHISE LANDING PAGE PROJECT"/>
    <s v="30-April-2026"/>
    <s v="16-May-2026"/>
    <s v="+4"/>
    <x v="0"/>
    <s v="Custom"/>
    <s v="Done"/>
  </r>
  <r>
    <n v="49"/>
    <s v="DRC Auto Sales"/>
    <s v="DRC Auto Sales"/>
    <s v="29-January-2026"/>
    <s v="26-May-2026"/>
    <s v="ASNWAbhijeet Singh Software Tester, Nikhil  Web Developer"/>
    <x v="0"/>
    <s v="Wordpress"/>
    <s v="Done"/>
  </r>
  <r>
    <n v="50"/>
    <s v="Solar Panel Bird Proofing Ken"/>
    <s v="Solar Panel Bird Proofing Ken"/>
    <s v="18-March-2026"/>
    <s v="20-April-2026"/>
    <s v="Deepak"/>
    <x v="0"/>
    <s v="Wordpress"/>
    <s v="Done"/>
  </r>
  <r>
    <n v="51"/>
    <s v="SSL"/>
    <s v="SSL"/>
    <s v="28-January-2026"/>
    <n v="0"/>
    <s v="AWNWAman Web Developer, Nikhil  Web Developer"/>
    <x v="0"/>
    <s v="Shopify"/>
    <s v="Done"/>
  </r>
  <r>
    <n v="52"/>
    <s v="iDrive Auto"/>
    <s v="iDrive Auto"/>
    <s v="11-December-2025"/>
    <n v="0"/>
    <s v="AWAman Web Developer"/>
    <x v="0"/>
    <s v="Wordpress"/>
    <s v="Done"/>
  </r>
  <r>
    <n v="53"/>
    <s v="Optimum Global Care"/>
    <s v="Optimum Global Care"/>
    <s v="09-October-2025"/>
    <n v="0"/>
    <n v="0"/>
    <x v="3"/>
    <s v="Wordpress"/>
    <s v="Not confirmed. "/>
  </r>
  <r>
    <n v="54"/>
    <s v="Know &amp; Grow Tutors"/>
    <s v="Know &amp; Grow Tutors"/>
    <s v="14-October-2025"/>
    <n v="0"/>
    <s v="NWNikhil  Web Developer"/>
    <x v="0"/>
    <s v="Wordpress"/>
    <s v="Done"/>
  </r>
  <r>
    <n v="55"/>
    <s v="Mk Global Consultant"/>
    <s v="Mk Global Consultant"/>
    <s v="06-October-2025"/>
    <n v="0"/>
    <s v="+2"/>
    <x v="0"/>
    <s v="Wordpress"/>
    <s v="Done"/>
  </r>
  <r>
    <n v="56"/>
    <s v="DelaVogue Fashion"/>
    <s v="DelaVogue Fashion"/>
    <s v="10-October-2025"/>
    <n v="0"/>
    <s v="+1"/>
    <x v="0"/>
    <s v="Wordpress"/>
    <s v="Done"/>
  </r>
  <r>
    <n v="57"/>
    <s v="THR Gas and Solutions"/>
    <s v="THR Gas and Solutions"/>
    <d v="2025-03-08T00:00:00"/>
    <d v="2025-05-05T00:00:00"/>
    <s v="Deepak"/>
    <x v="3"/>
    <s v="Wordpress"/>
    <s v="Waiting for Client response"/>
  </r>
  <r>
    <n v="58"/>
    <s v="M13 Construction"/>
    <s v="M13 Construction"/>
    <d v="2025-03-07T00:00:00"/>
    <d v="2025-03-29T00:00:00"/>
    <s v="Deepak"/>
    <x v="3"/>
    <s v="Wordpress"/>
    <s v="Waiting for Client response"/>
  </r>
  <r>
    <n v="59"/>
    <s v="Grout &amp; Tile Sealing Service"/>
    <s v="Grout &amp; Tile Sealing Service"/>
    <d v="2025-07-09T00:00:00"/>
    <d v="2025-07-31T00:00:00"/>
    <s v="Deepak"/>
    <x v="3"/>
    <s v="Wordpress"/>
    <s v="Waiting for Client response"/>
  </r>
  <r>
    <n v="60"/>
    <s v="New Images Architects"/>
    <s v="New Images Architects"/>
    <d v="2025-06-16T00:00:00"/>
    <d v="2025-06-25T00:00:00"/>
    <s v="Deepak"/>
    <x v="3"/>
    <s v="Wordpress"/>
    <s v="Waiting for Client response"/>
  </r>
  <r>
    <n v="61"/>
    <s v="Medical Device Software And Sterilization Professionals Ltd"/>
    <s v="Medical Device Software And Sterilization Professionals Ltd"/>
    <d v="2025-09-30T00:00:00"/>
    <d v="2025-10-24T00:00:00"/>
    <s v="Deepak"/>
    <x v="3"/>
    <s v="Wordpress"/>
    <s v="Waiting for Client response"/>
  </r>
  <r>
    <n v="62"/>
    <s v="HTV Events"/>
    <s v="HTV Events"/>
    <d v="2025-10-06T00:00:00"/>
    <d v="2025-10-25T00:00:00"/>
    <s v="Deepak"/>
    <x v="3"/>
    <s v="Wordpress"/>
    <s v="Waiting for Client response"/>
  </r>
  <r>
    <n v="63"/>
    <s v="YARDX"/>
    <s v="YARDX"/>
    <d v="2025-10-15T00:00:00"/>
    <d v="2025-11-13T00:00:00"/>
    <s v="Deepak"/>
    <x v="3"/>
    <s v="Wordpress"/>
    <s v="Waiting for Client response"/>
  </r>
  <r>
    <n v="64"/>
    <s v="Graphics Design &amp; Print"/>
    <s v="Graphics Design &amp; Print"/>
    <d v="2025-11-26T00:00:00"/>
    <d v="2025-12-05T00:00:00"/>
    <s v="Deepak"/>
    <x v="3"/>
    <s v="Wordpress"/>
    <s v="Waiting for Client response"/>
  </r>
  <r>
    <n v="65"/>
    <s v="London Bollards"/>
    <s v="London Bollards"/>
    <d v="2025-12-03T00:00:00"/>
    <d v="2025-12-15T00:00:00"/>
    <s v="Deepak"/>
    <x v="3"/>
    <s v="Wordpress"/>
    <s v="Waiting for Client response"/>
  </r>
  <r>
    <n v="66"/>
    <s v="De'Osa Engineering"/>
    <s v="De'Osa Engineering"/>
    <d v="2025-08-30T00:00:00"/>
    <d v="2025-09-03T00:00:00"/>
    <s v="Deepak"/>
    <x v="3"/>
    <s v="Wordpress"/>
    <s v="Waiting for Client response"/>
  </r>
  <r>
    <n v="67"/>
    <s v="Tailor Made Arrangement"/>
    <s v="Tailor Made Arrangement"/>
    <d v="2026-01-23T00:00:00"/>
    <d v="2026-02-18T00:00:00"/>
    <s v="Deepak"/>
    <x v="3"/>
    <s v="Wordpress"/>
    <s v="Waiting for Client response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8">
  <r>
    <n v="1"/>
    <x v="0"/>
    <s v="Sparta"/>
    <s v="NA"/>
    <s v="NA"/>
    <s v="Shivam Backend Dev"/>
    <x v="0"/>
    <s v="Inhouse"/>
  </r>
  <r>
    <n v="2"/>
    <x v="1"/>
    <s v="Sparta"/>
    <s v="NA"/>
    <s v="NA"/>
    <s v="Shivam Backend Dev"/>
    <x v="0"/>
    <s v="Inhouse"/>
  </r>
  <r>
    <n v="3"/>
    <x v="2"/>
    <s v="Sparta"/>
    <s v="NA"/>
    <s v="NA"/>
    <s v="Shivam Backend Dev"/>
    <x v="0"/>
    <s v="Inhouse"/>
  </r>
  <r>
    <n v="4"/>
    <x v="3"/>
    <s v="Sparta"/>
    <s v="NA"/>
    <s v="NA"/>
    <s v="Shivam Backend Dev"/>
    <x v="0"/>
    <s v="Inhouse"/>
  </r>
  <r>
    <n v="6"/>
    <x v="4"/>
    <s v="Sparta"/>
    <s v="NA"/>
    <s v="NA"/>
    <s v="Shivam Backend Dev"/>
    <x v="0"/>
    <s v="Inhouse"/>
  </r>
  <r>
    <n v="7"/>
    <x v="5"/>
    <s v="Sparta"/>
    <s v="NA"/>
    <s v="NA"/>
    <s v="Shivam Backend Dev"/>
    <x v="0"/>
    <s v="Inhouse"/>
  </r>
  <r>
    <n v="8"/>
    <x v="6"/>
    <s v="Sparta"/>
    <s v="NA"/>
    <s v="NA"/>
    <s v="Shivam Backend Dev"/>
    <x v="0"/>
    <s v="Inhouse"/>
  </r>
  <r>
    <n v="9"/>
    <x v="7"/>
    <s v="Sparta"/>
    <s v="NA"/>
    <s v="NA"/>
    <s v="Shivam Backend Dev"/>
    <x v="0"/>
    <s v="Inhouse"/>
  </r>
  <r>
    <n v="10"/>
    <x v="8"/>
    <s v="Sparta"/>
    <s v="NA"/>
    <s v="NA"/>
    <s v="Shivam Backend Dev"/>
    <x v="0"/>
    <s v="Inhouse"/>
  </r>
  <r>
    <n v="11"/>
    <x v="9"/>
    <s v="Sparta"/>
    <s v="NA"/>
    <s v="NA"/>
    <s v="Shivam Backend Dev"/>
    <x v="0"/>
    <s v="Inhouse"/>
  </r>
  <r>
    <n v="12"/>
    <x v="10"/>
    <s v="Sparta"/>
    <s v="NA"/>
    <s v="NA"/>
    <s v="Shivam Backend Dev"/>
    <x v="1"/>
    <s v="Inhouse"/>
  </r>
  <r>
    <n v="13"/>
    <x v="11"/>
    <s v="Sparta"/>
    <s v="NA"/>
    <s v="NA"/>
    <s v="Shivam Backend Dev"/>
    <x v="1"/>
    <s v="Inhouse"/>
  </r>
  <r>
    <n v="14"/>
    <x v="12"/>
    <s v="Sparta"/>
    <s v="NA"/>
    <s v="NA"/>
    <s v="Shivam Backend Dev"/>
    <x v="1"/>
    <s v="Inhouse"/>
  </r>
  <r>
    <n v="15"/>
    <x v="13"/>
    <s v="Sparta"/>
    <s v="NA"/>
    <s v="NA"/>
    <s v="Shivam Backend Dev"/>
    <x v="1"/>
    <s v="Inhouse"/>
  </r>
  <r>
    <n v="16.373626373626301"/>
    <x v="14"/>
    <s v="Sparta"/>
    <s v="NA"/>
    <s v="NA"/>
    <s v="Shivam Backend Dev"/>
    <x v="1"/>
    <s v="Inhouse"/>
  </r>
  <r>
    <n v="17.4615384615384"/>
    <x v="15"/>
    <s v="Sparta"/>
    <s v="NA"/>
    <s v="NA"/>
    <s v="Shivam Backend Dev"/>
    <x v="2"/>
    <s v="Inhouse"/>
  </r>
  <r>
    <n v="18.549450549450501"/>
    <x v="16"/>
    <s v="Sparta"/>
    <s v="NA"/>
    <s v="NA"/>
    <s v="Shivam Backend Dev"/>
    <x v="3"/>
    <s v="Inhouse"/>
  </r>
  <r>
    <n v="19.6373626373626"/>
    <x v="17"/>
    <s v="Sparta"/>
    <s v="NA"/>
    <s v="NA"/>
    <s v="Shivam Backend Dev"/>
    <x v="3"/>
    <s v="Inhous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ivotTable54" cacheId="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4">
  <location ref="R6:S9" firstHeaderRow="1" firstDataRow="1" firstDataCol="1"/>
  <pivotFields count="9">
    <pivotField dataField="1"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Sum of S.No." fld="0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6" type="button" dataOnly="0" labelOnly="1" outline="0" axis="axisRow" fieldPosition="0"/>
    </format>
    <format dxfId="2">
      <pivotArea dataOnly="0" labelOnly="1" outline="0" axis="axisValues" fieldPosition="0"/>
    </format>
    <format dxfId="1">
      <pivotArea dataOnly="0" labelOnly="1" outline="0" fieldPosition="0">
        <references count="1">
          <reference field="6" count="0"/>
        </references>
      </pivotArea>
    </format>
    <format dxfId="0">
      <pivotArea dataOnly="0" labelOnly="1" outline="0" axis="axisValues" fieldPosition="0"/>
    </format>
  </formats>
  <chartFormats count="4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12" cacheId="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4">
  <location ref="A6:B10" firstHeaderRow="1" firstDataRow="1" firstDataCol="1"/>
  <pivotFields count="9">
    <pivotField dataField="1"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S.No." fld="0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6" type="button" dataOnly="0" labelOnly="1" outline="0" axis="axisRow" fieldPosition="0"/>
    </format>
    <format dxfId="8">
      <pivotArea dataOnly="0" labelOnly="1" outline="0" axis="axisValues" fieldPosition="0"/>
    </format>
    <format dxfId="7">
      <pivotArea dataOnly="0" labelOnly="1" outline="0" fieldPosition="0">
        <references count="1">
          <reference field="6" count="0"/>
        </references>
      </pivotArea>
    </format>
    <format dxfId="6">
      <pivotArea dataOnly="0" labelOnly="1" outline="0" axis="axisValues" fieldPosition="0"/>
    </format>
  </formats>
  <chartFormats count="5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PivotTable43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6">
  <location ref="R24:S28" firstHeaderRow="1" firstDataRow="1" firstDataCol="1"/>
  <pivotFields count="9">
    <pivotField dataField="1"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.No." fld="0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7" type="button" dataOnly="0" labelOnly="1" outline="0" axis="axisRow" fieldPosition="0"/>
    </format>
    <format dxfId="14">
      <pivotArea dataOnly="0" labelOnly="1" outline="0" axis="axisValues" fieldPosition="0"/>
    </format>
    <format dxfId="13">
      <pivotArea dataOnly="0" labelOnly="1" outline="0" fieldPosition="0">
        <references count="1">
          <reference field="7" count="0"/>
        </references>
      </pivotArea>
    </format>
    <format dxfId="12">
      <pivotArea dataOnly="0" labelOnly="1" outline="0" axis="axisValues" fieldPosition="0"/>
    </format>
  </format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25:B29" firstHeaderRow="1" firstDataRow="1" firstDataCol="1"/>
  <pivotFields count="9">
    <pivotField dataField="1"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S.No." fld="0" subtotal="count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7" type="button" dataOnly="0" labelOnly="1" outline="0" axis="axisRow" fieldPosition="0"/>
    </format>
    <format dxfId="20">
      <pivotArea dataOnly="0" labelOnly="1" outline="0" axis="axisValues" fieldPosition="0"/>
    </format>
    <format dxfId="19">
      <pivotArea dataOnly="0" labelOnly="1" outline="0" fieldPosition="0">
        <references count="1">
          <reference field="7" count="0"/>
        </references>
      </pivotArea>
    </format>
    <format dxfId="18">
      <pivotArea dataOnly="0" labelOnly="1" outline="0" axis="axisValues" fieldPosition="0"/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11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B7" firstHeaderRow="1" firstDataRow="1" firstDataCol="1"/>
  <pivotFields count="9">
    <pivotField dataField="1"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2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.No." fld="0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3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:B38" firstHeaderRow="1" firstDataRow="1" firstDataCol="1"/>
  <pivotFields count="8">
    <pivotField dataField="1" numFmtId="1" showAll="0"/>
    <pivotField axis="axisRow" showAll="0">
      <items count="19">
        <item x="11"/>
        <item x="13"/>
        <item x="12"/>
        <item x="14"/>
        <item x="6"/>
        <item x="5"/>
        <item x="3"/>
        <item x="2"/>
        <item x="16"/>
        <item x="7"/>
        <item x="8"/>
        <item x="9"/>
        <item x="1"/>
        <item x="4"/>
        <item x="10"/>
        <item x="17"/>
        <item x="15"/>
        <item x="0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</pivotFields>
  <rowFields count="2">
    <field x="1"/>
    <field x="6"/>
  </rowFields>
  <rowItems count="37">
    <i>
      <x/>
    </i>
    <i r="1">
      <x v="3"/>
    </i>
    <i>
      <x v="1"/>
    </i>
    <i r="1">
      <x v="3"/>
    </i>
    <i>
      <x v="2"/>
    </i>
    <i r="1">
      <x v="3"/>
    </i>
    <i>
      <x v="3"/>
    </i>
    <i r="1">
      <x v="3"/>
    </i>
    <i>
      <x v="4"/>
    </i>
    <i r="1">
      <x/>
    </i>
    <i>
      <x v="5"/>
    </i>
    <i r="1">
      <x/>
    </i>
    <i>
      <x v="6"/>
    </i>
    <i r="1">
      <x/>
    </i>
    <i>
      <x v="7"/>
    </i>
    <i r="1">
      <x/>
    </i>
    <i>
      <x v="8"/>
    </i>
    <i r="1">
      <x v="2"/>
    </i>
    <i>
      <x v="9"/>
    </i>
    <i r="1">
      <x/>
    </i>
    <i>
      <x v="10"/>
    </i>
    <i r="1">
      <x/>
    </i>
    <i>
      <x v="11"/>
    </i>
    <i r="1">
      <x/>
    </i>
    <i>
      <x v="12"/>
    </i>
    <i r="1">
      <x/>
    </i>
    <i>
      <x v="13"/>
    </i>
    <i r="1">
      <x/>
    </i>
    <i>
      <x v="14"/>
    </i>
    <i r="1">
      <x v="3"/>
    </i>
    <i>
      <x v="15"/>
    </i>
    <i r="1">
      <x v="2"/>
    </i>
    <i>
      <x v="16"/>
    </i>
    <i r="1">
      <x v="1"/>
    </i>
    <i>
      <x v="17"/>
    </i>
    <i r="1">
      <x/>
    </i>
    <i t="grand">
      <x/>
    </i>
  </rowItems>
  <colItems count="1">
    <i/>
  </colItems>
  <dataFields count="1">
    <dataField name="Sum of S.No." fld="0" baseField="0" baseItem="0"/>
  </dataFields>
  <chartFormats count="2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matthewelegbede99@gmail.com" TargetMode="External"/><Relationship Id="rId13" Type="http://schemas.openxmlformats.org/officeDocument/2006/relationships/hyperlink" Target="mailto:office.mdsspro@gmail.com" TargetMode="External"/><Relationship Id="rId18" Type="http://schemas.openxmlformats.org/officeDocument/2006/relationships/hyperlink" Target="mailto:info@deosaengineering.co.uk" TargetMode="External"/><Relationship Id="rId3" Type="http://schemas.openxmlformats.org/officeDocument/2006/relationships/hyperlink" Target="mailto:info@optimumglobalcare.co.uk" TargetMode="External"/><Relationship Id="rId7" Type="http://schemas.openxmlformats.org/officeDocument/2006/relationships/hyperlink" Target="mailto:contact@obisonicdp.co.uk" TargetMode="External"/><Relationship Id="rId12" Type="http://schemas.openxmlformats.org/officeDocument/2006/relationships/hyperlink" Target="mailto:shaz.etemadi7@gmail.com" TargetMode="External"/><Relationship Id="rId17" Type="http://schemas.openxmlformats.org/officeDocument/2006/relationships/hyperlink" Target="mailto:contact@londonbollards.com" TargetMode="External"/><Relationship Id="rId2" Type="http://schemas.openxmlformats.org/officeDocument/2006/relationships/hyperlink" Target="mailto:corbymotors@gmail.com" TargetMode="External"/><Relationship Id="rId16" Type="http://schemas.openxmlformats.org/officeDocument/2006/relationships/hyperlink" Target="mailto:designs@mrsoor.co.uk" TargetMode="External"/><Relationship Id="rId1" Type="http://schemas.openxmlformats.org/officeDocument/2006/relationships/hyperlink" Target="mailto:info.surgeproductions@gmail.com" TargetMode="External"/><Relationship Id="rId6" Type="http://schemas.openxmlformats.org/officeDocument/2006/relationships/hyperlink" Target="mailto:red_scorpion5@hotmail.co.uk" TargetMode="External"/><Relationship Id="rId11" Type="http://schemas.openxmlformats.org/officeDocument/2006/relationships/hyperlink" Target="mailto:info@topmodatilingservices.co.uk" TargetMode="External"/><Relationship Id="rId5" Type="http://schemas.openxmlformats.org/officeDocument/2006/relationships/hyperlink" Target="mailto:faith.fhfurniture@gmail.com" TargetMode="External"/><Relationship Id="rId15" Type="http://schemas.openxmlformats.org/officeDocument/2006/relationships/hyperlink" Target="mailto:Mohsinhussain110@hotmail.com" TargetMode="External"/><Relationship Id="rId10" Type="http://schemas.openxmlformats.org/officeDocument/2006/relationships/hyperlink" Target="mailto:naz.m13@hotmail.com" TargetMode="External"/><Relationship Id="rId19" Type="http://schemas.openxmlformats.org/officeDocument/2006/relationships/printerSettings" Target="../printerSettings/printerSettings5.bin"/><Relationship Id="rId4" Type="http://schemas.openxmlformats.org/officeDocument/2006/relationships/hyperlink" Target="mailto:kashif@eaglepropertycare.co.uk" TargetMode="External"/><Relationship Id="rId9" Type="http://schemas.openxmlformats.org/officeDocument/2006/relationships/hyperlink" Target="mailto:thrgasandheatingsolutions@yahoo.com" TargetMode="External"/><Relationship Id="rId14" Type="http://schemas.openxmlformats.org/officeDocument/2006/relationships/hyperlink" Target="mailto:admin@htvevents.co.uk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olquest-letting.com/" TargetMode="External"/><Relationship Id="rId21" Type="http://schemas.openxmlformats.org/officeDocument/2006/relationships/hyperlink" Target="https://patchitt-joinery.co.uk/" TargetMode="External"/><Relationship Id="rId42" Type="http://schemas.openxmlformats.org/officeDocument/2006/relationships/hyperlink" Target="https://counsellingtherapylondon.co.uk/" TargetMode="External"/><Relationship Id="rId63" Type="http://schemas.openxmlformats.org/officeDocument/2006/relationships/hyperlink" Target="https://www.rafiqcatering.com/" TargetMode="External"/><Relationship Id="rId84" Type="http://schemas.openxmlformats.org/officeDocument/2006/relationships/hyperlink" Target="https://pplusparchitects.com/" TargetMode="External"/><Relationship Id="rId138" Type="http://schemas.openxmlformats.org/officeDocument/2006/relationships/hyperlink" Target="https://bvabuilders.co.uk/" TargetMode="External"/><Relationship Id="rId159" Type="http://schemas.openxmlformats.org/officeDocument/2006/relationships/hyperlink" Target="https://veeduxproduction.co.uk/" TargetMode="External"/><Relationship Id="rId170" Type="http://schemas.openxmlformats.org/officeDocument/2006/relationships/hyperlink" Target="https://qubearchitects.uk/" TargetMode="External"/><Relationship Id="rId107" Type="http://schemas.openxmlformats.org/officeDocument/2006/relationships/hyperlink" Target="https://m13construction.co.uk/" TargetMode="External"/><Relationship Id="rId11" Type="http://schemas.openxmlformats.org/officeDocument/2006/relationships/hyperlink" Target="https://loftconversionsessex.co.uk/" TargetMode="External"/><Relationship Id="rId32" Type="http://schemas.openxmlformats.org/officeDocument/2006/relationships/hyperlink" Target="https://briggssafetywear.com/" TargetMode="External"/><Relationship Id="rId53" Type="http://schemas.openxmlformats.org/officeDocument/2006/relationships/hyperlink" Target="https://newhamschoolofmotoring.co.uk/" TargetMode="External"/><Relationship Id="rId74" Type="http://schemas.openxmlformats.org/officeDocument/2006/relationships/hyperlink" Target="https://vipchauffeursservice.co.uk/" TargetMode="External"/><Relationship Id="rId128" Type="http://schemas.openxmlformats.org/officeDocument/2006/relationships/hyperlink" Target="http://know-growtutors.com/" TargetMode="External"/><Relationship Id="rId149" Type="http://schemas.openxmlformats.org/officeDocument/2006/relationships/hyperlink" Target="https://decorator-home.co.uk/" TargetMode="External"/><Relationship Id="rId5" Type="http://schemas.openxmlformats.org/officeDocument/2006/relationships/hyperlink" Target="https://coulonstone.com/" TargetMode="External"/><Relationship Id="rId95" Type="http://schemas.openxmlformats.org/officeDocument/2006/relationships/hyperlink" Target="https://www.bathroomslondonltd.com/" TargetMode="External"/><Relationship Id="rId160" Type="http://schemas.openxmlformats.org/officeDocument/2006/relationships/hyperlink" Target="https://russellhewes.co.uk/" TargetMode="External"/><Relationship Id="rId181" Type="http://schemas.openxmlformats.org/officeDocument/2006/relationships/hyperlink" Target="https://www.janssolutions.co.uk/" TargetMode="External"/><Relationship Id="rId22" Type="http://schemas.openxmlformats.org/officeDocument/2006/relationships/hyperlink" Target="https://10plusonestore.co.uk/" TargetMode="External"/><Relationship Id="rId43" Type="http://schemas.openxmlformats.org/officeDocument/2006/relationships/hyperlink" Target="https://allenhouseschools.com/" TargetMode="External"/><Relationship Id="rId64" Type="http://schemas.openxmlformats.org/officeDocument/2006/relationships/hyperlink" Target="https://securityprotectionltd.co.uk/" TargetMode="External"/><Relationship Id="rId118" Type="http://schemas.openxmlformats.org/officeDocument/2006/relationships/hyperlink" Target="https://olympusmobiletyrefitting.co.uk/" TargetMode="External"/><Relationship Id="rId139" Type="http://schemas.openxmlformats.org/officeDocument/2006/relationships/hyperlink" Target="https://juliantaxi.uk/" TargetMode="External"/><Relationship Id="rId85" Type="http://schemas.openxmlformats.org/officeDocument/2006/relationships/hyperlink" Target="https://corianderlounge.com/" TargetMode="External"/><Relationship Id="rId150" Type="http://schemas.openxmlformats.org/officeDocument/2006/relationships/hyperlink" Target="https://ctc-cheshiretool.co.uk/" TargetMode="External"/><Relationship Id="rId171" Type="http://schemas.openxmlformats.org/officeDocument/2006/relationships/hyperlink" Target="https://tailor-madearrangements.com/" TargetMode="External"/><Relationship Id="rId12" Type="http://schemas.openxmlformats.org/officeDocument/2006/relationships/hyperlink" Target="https://www.masseyproperty.com/" TargetMode="External"/><Relationship Id="rId33" Type="http://schemas.openxmlformats.org/officeDocument/2006/relationships/hyperlink" Target="https://www.alfa-menswear.com/" TargetMode="External"/><Relationship Id="rId108" Type="http://schemas.openxmlformats.org/officeDocument/2006/relationships/hyperlink" Target="https://catesbyshoes.com/" TargetMode="External"/><Relationship Id="rId129" Type="http://schemas.openxmlformats.org/officeDocument/2006/relationships/hyperlink" Target="https://mkglobalconsultant.co.uk/" TargetMode="External"/><Relationship Id="rId54" Type="http://schemas.openxmlformats.org/officeDocument/2006/relationships/hyperlink" Target="https://www.optimumgloballinks.co.uk/" TargetMode="External"/><Relationship Id="rId75" Type="http://schemas.openxmlformats.org/officeDocument/2006/relationships/hyperlink" Target="https://www.road-van-finder.co.uk/" TargetMode="External"/><Relationship Id="rId96" Type="http://schemas.openxmlformats.org/officeDocument/2006/relationships/hyperlink" Target="https://laylagordon.uk/" TargetMode="External"/><Relationship Id="rId140" Type="http://schemas.openxmlformats.org/officeDocument/2006/relationships/hyperlink" Target="https://www.bathroomslondonltd.com/" TargetMode="External"/><Relationship Id="rId161" Type="http://schemas.openxmlformats.org/officeDocument/2006/relationships/hyperlink" Target="https://edensedgegardens.uk/" TargetMode="External"/><Relationship Id="rId182" Type="http://schemas.openxmlformats.org/officeDocument/2006/relationships/hyperlink" Target="https://rbddrivingschool.co.uk/" TargetMode="External"/><Relationship Id="rId6" Type="http://schemas.openxmlformats.org/officeDocument/2006/relationships/hyperlink" Target="https://coulonstone.com/" TargetMode="External"/><Relationship Id="rId23" Type="http://schemas.openxmlformats.org/officeDocument/2006/relationships/hyperlink" Target="https://splendenttile.co.uk/" TargetMode="External"/><Relationship Id="rId119" Type="http://schemas.openxmlformats.org/officeDocument/2006/relationships/hyperlink" Target="https://nomadsclothingwholesale.com/" TargetMode="External"/><Relationship Id="rId44" Type="http://schemas.openxmlformats.org/officeDocument/2006/relationships/hyperlink" Target="https://coulonstone.com/" TargetMode="External"/><Relationship Id="rId65" Type="http://schemas.openxmlformats.org/officeDocument/2006/relationships/hyperlink" Target="https://dagmetalworks.co.uk/" TargetMode="External"/><Relationship Id="rId86" Type="http://schemas.openxmlformats.org/officeDocument/2006/relationships/hyperlink" Target="https://getsetcook.co.uk/" TargetMode="External"/><Relationship Id="rId130" Type="http://schemas.openxmlformats.org/officeDocument/2006/relationships/hyperlink" Target="https://nandsonsroofing.co.uk/" TargetMode="External"/><Relationship Id="rId151" Type="http://schemas.openxmlformats.org/officeDocument/2006/relationships/hyperlink" Target="https://rrjdesign.co.uk/" TargetMode="External"/><Relationship Id="rId172" Type="http://schemas.openxmlformats.org/officeDocument/2006/relationships/hyperlink" Target="https://footweardepot.co.uk/" TargetMode="External"/><Relationship Id="rId13" Type="http://schemas.openxmlformats.org/officeDocument/2006/relationships/hyperlink" Target="https://lbtaxi.co.uk/" TargetMode="External"/><Relationship Id="rId18" Type="http://schemas.openxmlformats.org/officeDocument/2006/relationships/hyperlink" Target="https://masds.co.uk/" TargetMode="External"/><Relationship Id="rId39" Type="http://schemas.openxmlformats.org/officeDocument/2006/relationships/hyperlink" Target="https://www.red-radio.co.uk/" TargetMode="External"/><Relationship Id="rId109" Type="http://schemas.openxmlformats.org/officeDocument/2006/relationships/hyperlink" Target="https://fgshaulage.co.uk/" TargetMode="External"/><Relationship Id="rId34" Type="http://schemas.openxmlformats.org/officeDocument/2006/relationships/hyperlink" Target="https://saddler-accessories.com/" TargetMode="External"/><Relationship Id="rId50" Type="http://schemas.openxmlformats.org/officeDocument/2006/relationships/hyperlink" Target="https://olympusmobiletyrefitting.co.uk/" TargetMode="External"/><Relationship Id="rId55" Type="http://schemas.openxmlformats.org/officeDocument/2006/relationships/hyperlink" Target="https://avinaccountants.com/" TargetMode="External"/><Relationship Id="rId76" Type="http://schemas.openxmlformats.org/officeDocument/2006/relationships/hyperlink" Target="https://msandmrcleaning.co.uk/" TargetMode="External"/><Relationship Id="rId97" Type="http://schemas.openxmlformats.org/officeDocument/2006/relationships/hyperlink" Target="https://bristoltransfertaxi.co.uk/" TargetMode="External"/><Relationship Id="rId104" Type="http://schemas.openxmlformats.org/officeDocument/2006/relationships/hyperlink" Target="https://chorusmusictherapy.co.uk/" TargetMode="External"/><Relationship Id="rId120" Type="http://schemas.openxmlformats.org/officeDocument/2006/relationships/hyperlink" Target="https://www.spaceexecutivecars.co.uk/" TargetMode="External"/><Relationship Id="rId125" Type="http://schemas.openxmlformats.org/officeDocument/2006/relationships/hyperlink" Target="https://cardinallimo.com/" TargetMode="External"/><Relationship Id="rId141" Type="http://schemas.openxmlformats.org/officeDocument/2006/relationships/hyperlink" Target="https://agidvan.co.uk/" TargetMode="External"/><Relationship Id="rId146" Type="http://schemas.openxmlformats.org/officeDocument/2006/relationships/hyperlink" Target="https://newimagesarchitects.co.uk/" TargetMode="External"/><Relationship Id="rId167" Type="http://schemas.openxmlformats.org/officeDocument/2006/relationships/hyperlink" Target="https://acelearningplus.co.uk/" TargetMode="External"/><Relationship Id="rId7" Type="http://schemas.openxmlformats.org/officeDocument/2006/relationships/hyperlink" Target="https://www.alan-lam.co.uk/" TargetMode="External"/><Relationship Id="rId71" Type="http://schemas.openxmlformats.org/officeDocument/2006/relationships/hyperlink" Target="https://nomadsclothing.com/" TargetMode="External"/><Relationship Id="rId92" Type="http://schemas.openxmlformats.org/officeDocument/2006/relationships/hyperlink" Target="https://allelectrixwebley.co.uk/" TargetMode="External"/><Relationship Id="rId162" Type="http://schemas.openxmlformats.org/officeDocument/2006/relationships/hyperlink" Target="https://sofiyadesigns.co.uk/" TargetMode="External"/><Relationship Id="rId183" Type="http://schemas.openxmlformats.org/officeDocument/2006/relationships/hyperlink" Target="https://drivewithgreta.co.uk/" TargetMode="External"/><Relationship Id="rId2" Type="http://schemas.openxmlformats.org/officeDocument/2006/relationships/hyperlink" Target="https://lockman247.co.uk/" TargetMode="External"/><Relationship Id="rId29" Type="http://schemas.openxmlformats.org/officeDocument/2006/relationships/hyperlink" Target="https://www.silverstreetlondon.co.uk/" TargetMode="External"/><Relationship Id="rId24" Type="http://schemas.openxmlformats.org/officeDocument/2006/relationships/hyperlink" Target="https://amenshoesuk.co.uk/" TargetMode="External"/><Relationship Id="rId40" Type="http://schemas.openxmlformats.org/officeDocument/2006/relationships/hyperlink" Target="https://www.euro-glazing.uk/" TargetMode="External"/><Relationship Id="rId45" Type="http://schemas.openxmlformats.org/officeDocument/2006/relationships/hyperlink" Target="https://www.drcautosales.co.uk/" TargetMode="External"/><Relationship Id="rId66" Type="http://schemas.openxmlformats.org/officeDocument/2006/relationships/hyperlink" Target="https://hmohorizon.co.uk/" TargetMode="External"/><Relationship Id="rId87" Type="http://schemas.openxmlformats.org/officeDocument/2006/relationships/hyperlink" Target="https://carmarketonline.co.uk/" TargetMode="External"/><Relationship Id="rId110" Type="http://schemas.openxmlformats.org/officeDocument/2006/relationships/hyperlink" Target="https://dinnickhowells.com/" TargetMode="External"/><Relationship Id="rId115" Type="http://schemas.openxmlformats.org/officeDocument/2006/relationships/hyperlink" Target="https://rrjcarpentryandjoinery.co.uk/" TargetMode="External"/><Relationship Id="rId131" Type="http://schemas.openxmlformats.org/officeDocument/2006/relationships/hyperlink" Target="https://rdkcivils.co.uk/" TargetMode="External"/><Relationship Id="rId136" Type="http://schemas.openxmlformats.org/officeDocument/2006/relationships/hyperlink" Target="https://rashiddrivingschool.co.uk/" TargetMode="External"/><Relationship Id="rId157" Type="http://schemas.openxmlformats.org/officeDocument/2006/relationships/hyperlink" Target="https://www.njls.co.uk/" TargetMode="External"/><Relationship Id="rId178" Type="http://schemas.openxmlformats.org/officeDocument/2006/relationships/hyperlink" Target="https://coulonstone.com/" TargetMode="External"/><Relationship Id="rId61" Type="http://schemas.openxmlformats.org/officeDocument/2006/relationships/hyperlink" Target="https://sofiyadesigns.co.uk/" TargetMode="External"/><Relationship Id="rId82" Type="http://schemas.openxmlformats.org/officeDocument/2006/relationships/hyperlink" Target="https://kndriving.co.uk/" TargetMode="External"/><Relationship Id="rId152" Type="http://schemas.openxmlformats.org/officeDocument/2006/relationships/hyperlink" Target="https://greenbee-landscapes.co.uk/" TargetMode="External"/><Relationship Id="rId173" Type="http://schemas.openxmlformats.org/officeDocument/2006/relationships/hyperlink" Target="https://allenkidskakadeo.in/" TargetMode="External"/><Relationship Id="rId19" Type="http://schemas.openxmlformats.org/officeDocument/2006/relationships/hyperlink" Target="https://kadelectricians.co.uk/" TargetMode="External"/><Relationship Id="rId14" Type="http://schemas.openxmlformats.org/officeDocument/2006/relationships/hyperlink" Target="https://www.xtra-sense.co.uk/" TargetMode="External"/><Relationship Id="rId30" Type="http://schemas.openxmlformats.org/officeDocument/2006/relationships/hyperlink" Target="https://www.silverstreetlondon.co.uk/" TargetMode="External"/><Relationship Id="rId35" Type="http://schemas.openxmlformats.org/officeDocument/2006/relationships/hyperlink" Target="https://saddler-accessories.com/" TargetMode="External"/><Relationship Id="rId56" Type="http://schemas.openxmlformats.org/officeDocument/2006/relationships/hyperlink" Target="https://topmodatilingservices.co.uk/" TargetMode="External"/><Relationship Id="rId77" Type="http://schemas.openxmlformats.org/officeDocument/2006/relationships/hyperlink" Target="https://britishquilting.com/" TargetMode="External"/><Relationship Id="rId100" Type="http://schemas.openxmlformats.org/officeDocument/2006/relationships/hyperlink" Target="https://ukah.co.uk/" TargetMode="External"/><Relationship Id="rId105" Type="http://schemas.openxmlformats.org/officeDocument/2006/relationships/hyperlink" Target="https://www.euro-glazing.uk/" TargetMode="External"/><Relationship Id="rId126" Type="http://schemas.openxmlformats.org/officeDocument/2006/relationships/hyperlink" Target="https://rrjcarpentryandjoinery.co.uk/" TargetMode="External"/><Relationship Id="rId147" Type="http://schemas.openxmlformats.org/officeDocument/2006/relationships/hyperlink" Target="https://eduquesttwt.com/" TargetMode="External"/><Relationship Id="rId168" Type="http://schemas.openxmlformats.org/officeDocument/2006/relationships/hyperlink" Target="https://edensedgegardens.uk/" TargetMode="External"/><Relationship Id="rId8" Type="http://schemas.openxmlformats.org/officeDocument/2006/relationships/hyperlink" Target="https://108builders.co.uk/" TargetMode="External"/><Relationship Id="rId51" Type="http://schemas.openxmlformats.org/officeDocument/2006/relationships/hyperlink" Target="https://www.cameraboss.co.uk/" TargetMode="External"/><Relationship Id="rId72" Type="http://schemas.openxmlformats.org/officeDocument/2006/relationships/hyperlink" Target="https://thrgasnheatingsolutions.co.uk/" TargetMode="External"/><Relationship Id="rId93" Type="http://schemas.openxmlformats.org/officeDocument/2006/relationships/hyperlink" Target="https://crossmarket.co.uk/" TargetMode="External"/><Relationship Id="rId98" Type="http://schemas.openxmlformats.org/officeDocument/2006/relationships/hyperlink" Target="https://allenkidskakadeo.in/" TargetMode="External"/><Relationship Id="rId121" Type="http://schemas.openxmlformats.org/officeDocument/2006/relationships/hyperlink" Target="https://sammortgages.uk/" TargetMode="External"/><Relationship Id="rId142" Type="http://schemas.openxmlformats.org/officeDocument/2006/relationships/hyperlink" Target="https://www.mdsspro.com/" TargetMode="External"/><Relationship Id="rId163" Type="http://schemas.openxmlformats.org/officeDocument/2006/relationships/hyperlink" Target="https://kitchen3d.co.uk/" TargetMode="External"/><Relationship Id="rId184" Type="http://schemas.openxmlformats.org/officeDocument/2006/relationships/hyperlink" Target="https://laylagordon.uk/" TargetMode="External"/><Relationship Id="rId3" Type="http://schemas.openxmlformats.org/officeDocument/2006/relationships/hyperlink" Target="https://lockman247.co.uk/" TargetMode="External"/><Relationship Id="rId25" Type="http://schemas.openxmlformats.org/officeDocument/2006/relationships/hyperlink" Target="https://amenshoesuk.co.uk/" TargetMode="External"/><Relationship Id="rId46" Type="http://schemas.openxmlformats.org/officeDocument/2006/relationships/hyperlink" Target="https://topmodatilingservices.co.uk/" TargetMode="External"/><Relationship Id="rId67" Type="http://schemas.openxmlformats.org/officeDocument/2006/relationships/hyperlink" Target="https://woodandhome.co.uk/" TargetMode="External"/><Relationship Id="rId116" Type="http://schemas.openxmlformats.org/officeDocument/2006/relationships/hyperlink" Target="http://www.thrivehypnotherapy.co.uk/" TargetMode="External"/><Relationship Id="rId137" Type="http://schemas.openxmlformats.org/officeDocument/2006/relationships/hyperlink" Target="https://www.skytrips.travel/" TargetMode="External"/><Relationship Id="rId158" Type="http://schemas.openxmlformats.org/officeDocument/2006/relationships/hyperlink" Target="https://www.not-thebrand.com/" TargetMode="External"/><Relationship Id="rId20" Type="http://schemas.openxmlformats.org/officeDocument/2006/relationships/hyperlink" Target="http://www.darowley.com/" TargetMode="External"/><Relationship Id="rId41" Type="http://schemas.openxmlformats.org/officeDocument/2006/relationships/hyperlink" Target="https://northwestterritory.co.uk/" TargetMode="External"/><Relationship Id="rId62" Type="http://schemas.openxmlformats.org/officeDocument/2006/relationships/hyperlink" Target="https://buraqelectric.co.uk/" TargetMode="External"/><Relationship Id="rId83" Type="http://schemas.openxmlformats.org/officeDocument/2006/relationships/hyperlink" Target="https://leapsdrivingschool.co.uk/" TargetMode="External"/><Relationship Id="rId88" Type="http://schemas.openxmlformats.org/officeDocument/2006/relationships/hyperlink" Target="https://b-pretty.co.uk/" TargetMode="External"/><Relationship Id="rId111" Type="http://schemas.openxmlformats.org/officeDocument/2006/relationships/hyperlink" Target="https://www.optimumgloballinks.co.uk/" TargetMode="External"/><Relationship Id="rId132" Type="http://schemas.openxmlformats.org/officeDocument/2006/relationships/hyperlink" Target="https://www.paradisetravelandtours.uk/" TargetMode="External"/><Relationship Id="rId153" Type="http://schemas.openxmlformats.org/officeDocument/2006/relationships/hyperlink" Target="https://greenbee-landscapes.co.uk/" TargetMode="External"/><Relationship Id="rId174" Type="http://schemas.openxmlformats.org/officeDocument/2006/relationships/hyperlink" Target="https://catesbyengland.com/" TargetMode="External"/><Relationship Id="rId179" Type="http://schemas.openxmlformats.org/officeDocument/2006/relationships/hyperlink" Target="https://corbymotors.com/" TargetMode="External"/><Relationship Id="rId15" Type="http://schemas.openxmlformats.org/officeDocument/2006/relationships/hyperlink" Target="https://www.labmadediamonds.co.uk/" TargetMode="External"/><Relationship Id="rId36" Type="http://schemas.openxmlformats.org/officeDocument/2006/relationships/hyperlink" Target="https://sosplumberservices.co.uk/" TargetMode="External"/><Relationship Id="rId57" Type="http://schemas.openxmlformats.org/officeDocument/2006/relationships/hyperlink" Target="https://britishquilting.com/" TargetMode="External"/><Relationship Id="rId106" Type="http://schemas.openxmlformats.org/officeDocument/2006/relationships/hyperlink" Target="https://maps.app.goo.gl/y7cyBLjthX2MevB4A" TargetMode="External"/><Relationship Id="rId127" Type="http://schemas.openxmlformats.org/officeDocument/2006/relationships/hyperlink" Target="https://www.deosaengineering.co.uk/" TargetMode="External"/><Relationship Id="rId10" Type="http://schemas.openxmlformats.org/officeDocument/2006/relationships/hyperlink" Target="https://northwestterritory.co.uk/" TargetMode="External"/><Relationship Id="rId31" Type="http://schemas.openxmlformats.org/officeDocument/2006/relationships/hyperlink" Target="https://briggssafetywear.com/" TargetMode="External"/><Relationship Id="rId52" Type="http://schemas.openxmlformats.org/officeDocument/2006/relationships/hyperlink" Target="https://kitesforschools.co.uk/" TargetMode="External"/><Relationship Id="rId73" Type="http://schemas.openxmlformats.org/officeDocument/2006/relationships/hyperlink" Target="https://bestvalueauto.co.uk/" TargetMode="External"/><Relationship Id="rId78" Type="http://schemas.openxmlformats.org/officeDocument/2006/relationships/hyperlink" Target="https://catesbyengland.com/" TargetMode="External"/><Relationship Id="rId94" Type="http://schemas.openxmlformats.org/officeDocument/2006/relationships/hyperlink" Target="https://www.foxairconditioning.co.uk/" TargetMode="External"/><Relationship Id="rId99" Type="http://schemas.openxmlformats.org/officeDocument/2006/relationships/hyperlink" Target="http://camping-gas.co.uk/" TargetMode="External"/><Relationship Id="rId101" Type="http://schemas.openxmlformats.org/officeDocument/2006/relationships/hyperlink" Target="https://amazinggardeners.co.uk/" TargetMode="External"/><Relationship Id="rId122" Type="http://schemas.openxmlformats.org/officeDocument/2006/relationships/hyperlink" Target="https://danthekitchenman.co.uk/" TargetMode="External"/><Relationship Id="rId143" Type="http://schemas.openxmlformats.org/officeDocument/2006/relationships/hyperlink" Target="https://pinkandginger.co.uk/" TargetMode="External"/><Relationship Id="rId148" Type="http://schemas.openxmlformats.org/officeDocument/2006/relationships/hyperlink" Target="https://patrickshoes.co.uk/" TargetMode="External"/><Relationship Id="rId164" Type="http://schemas.openxmlformats.org/officeDocument/2006/relationships/hyperlink" Target="https://www.nexustaxis.com/" TargetMode="External"/><Relationship Id="rId169" Type="http://schemas.openxmlformats.org/officeDocument/2006/relationships/hyperlink" Target="https://edensedgegardens.uk/" TargetMode="External"/><Relationship Id="rId185" Type="http://schemas.openxmlformats.org/officeDocument/2006/relationships/hyperlink" Target="https://authentictraining.co.uk/" TargetMode="External"/><Relationship Id="rId4" Type="http://schemas.openxmlformats.org/officeDocument/2006/relationships/hyperlink" Target="https://www.metalmaster.co.uk/" TargetMode="External"/><Relationship Id="rId9" Type="http://schemas.openxmlformats.org/officeDocument/2006/relationships/hyperlink" Target="https://mcabslymeregis.co.uk/" TargetMode="External"/><Relationship Id="rId180" Type="http://schemas.openxmlformats.org/officeDocument/2006/relationships/hyperlink" Target="https://www.tieprestige.co.uk/" TargetMode="External"/><Relationship Id="rId26" Type="http://schemas.openxmlformats.org/officeDocument/2006/relationships/hyperlink" Target="https://shoreditchinn.com/" TargetMode="External"/><Relationship Id="rId47" Type="http://schemas.openxmlformats.org/officeDocument/2006/relationships/hyperlink" Target="https://bluplumbing.co.uk/" TargetMode="External"/><Relationship Id="rId68" Type="http://schemas.openxmlformats.org/officeDocument/2006/relationships/hyperlink" Target="https://allelectrixwebley.co.uk/" TargetMode="External"/><Relationship Id="rId89" Type="http://schemas.openxmlformats.org/officeDocument/2006/relationships/hyperlink" Target="https://arnold-drivingacademy.co.uk/" TargetMode="External"/><Relationship Id="rId112" Type="http://schemas.openxmlformats.org/officeDocument/2006/relationships/hyperlink" Target="https://finefinishdecorative.co.uk/" TargetMode="External"/><Relationship Id="rId133" Type="http://schemas.openxmlformats.org/officeDocument/2006/relationships/hyperlink" Target="https://www.spaceexecutivecars.co.uk/" TargetMode="External"/><Relationship Id="rId154" Type="http://schemas.openxmlformats.org/officeDocument/2006/relationships/hyperlink" Target="https://www.barcodefurniture.com/" TargetMode="External"/><Relationship Id="rId175" Type="http://schemas.openxmlformats.org/officeDocument/2006/relationships/hyperlink" Target="https://www.hubofhomes.com/" TargetMode="External"/><Relationship Id="rId16" Type="http://schemas.openxmlformats.org/officeDocument/2006/relationships/hyperlink" Target="https://www.labmadediamonds.co.uk/" TargetMode="External"/><Relationship Id="rId37" Type="http://schemas.openxmlformats.org/officeDocument/2006/relationships/hyperlink" Target="https://sosplumberservices.co.uk/" TargetMode="External"/><Relationship Id="rId58" Type="http://schemas.openxmlformats.org/officeDocument/2006/relationships/hyperlink" Target="https://flybedding.com/" TargetMode="External"/><Relationship Id="rId79" Type="http://schemas.openxmlformats.org/officeDocument/2006/relationships/hyperlink" Target="https://www.be-studio.co.uk/" TargetMode="External"/><Relationship Id="rId102" Type="http://schemas.openxmlformats.org/officeDocument/2006/relationships/hyperlink" Target="https://www.ornateplanners.co.uk/" TargetMode="External"/><Relationship Id="rId123" Type="http://schemas.openxmlformats.org/officeDocument/2006/relationships/hyperlink" Target="https://londonbollards.com/" TargetMode="External"/><Relationship Id="rId144" Type="http://schemas.openxmlformats.org/officeDocument/2006/relationships/hyperlink" Target="https://pcsuk.co.uk/" TargetMode="External"/><Relationship Id="rId90" Type="http://schemas.openxmlformats.org/officeDocument/2006/relationships/hyperlink" Target="https://claritycompare.com/" TargetMode="External"/><Relationship Id="rId165" Type="http://schemas.openxmlformats.org/officeDocument/2006/relationships/hyperlink" Target="https://kitchen3d.co.uk/" TargetMode="External"/><Relationship Id="rId186" Type="http://schemas.openxmlformats.org/officeDocument/2006/relationships/hyperlink" Target="https://patrickshoes.co.uk/" TargetMode="External"/><Relationship Id="rId27" Type="http://schemas.openxmlformats.org/officeDocument/2006/relationships/hyperlink" Target="https://scottaxi.com/" TargetMode="External"/><Relationship Id="rId48" Type="http://schemas.openxmlformats.org/officeDocument/2006/relationships/hyperlink" Target="https://ctc-cheshiretool.co.uk/" TargetMode="External"/><Relationship Id="rId69" Type="http://schemas.openxmlformats.org/officeDocument/2006/relationships/hyperlink" Target="https://www.bathroomslondonltd.com/" TargetMode="External"/><Relationship Id="rId113" Type="http://schemas.openxmlformats.org/officeDocument/2006/relationships/hyperlink" Target="http://www.rrdoubleglazingltd.co.uk/" TargetMode="External"/><Relationship Id="rId134" Type="http://schemas.openxmlformats.org/officeDocument/2006/relationships/hyperlink" Target="https://strongmusclesupplements.co.uk/" TargetMode="External"/><Relationship Id="rId80" Type="http://schemas.openxmlformats.org/officeDocument/2006/relationships/hyperlink" Target="https://cartheftprotect.co.uk/" TargetMode="External"/><Relationship Id="rId155" Type="http://schemas.openxmlformats.org/officeDocument/2006/relationships/hyperlink" Target="https://www.barcodefurniture.com/" TargetMode="External"/><Relationship Id="rId176" Type="http://schemas.openxmlformats.org/officeDocument/2006/relationships/hyperlink" Target="https://www.izecprestige.co.uk/" TargetMode="External"/><Relationship Id="rId17" Type="http://schemas.openxmlformats.org/officeDocument/2006/relationships/hyperlink" Target="https://revisewithme.com/" TargetMode="External"/><Relationship Id="rId38" Type="http://schemas.openxmlformats.org/officeDocument/2006/relationships/hyperlink" Target="https://mertonparkpostoffice.co.uk/" TargetMode="External"/><Relationship Id="rId59" Type="http://schemas.openxmlformats.org/officeDocument/2006/relationships/hyperlink" Target="https://olympusmobiletyrefitting.co.uk/" TargetMode="External"/><Relationship Id="rId103" Type="http://schemas.openxmlformats.org/officeDocument/2006/relationships/hyperlink" Target="https://jtfencingandsecurity.co.uk/" TargetMode="External"/><Relationship Id="rId124" Type="http://schemas.openxmlformats.org/officeDocument/2006/relationships/hyperlink" Target="https://kpbrbuilders.co.uk/" TargetMode="External"/><Relationship Id="rId70" Type="http://schemas.openxmlformats.org/officeDocument/2006/relationships/hyperlink" Target="https://roofingxperts.co.uk/" TargetMode="External"/><Relationship Id="rId91" Type="http://schemas.openxmlformats.org/officeDocument/2006/relationships/hyperlink" Target="https://laylagordon.uk/" TargetMode="External"/><Relationship Id="rId145" Type="http://schemas.openxmlformats.org/officeDocument/2006/relationships/hyperlink" Target="https://russellhewes.co.uk/" TargetMode="External"/><Relationship Id="rId166" Type="http://schemas.openxmlformats.org/officeDocument/2006/relationships/hyperlink" Target="https://www.ayton-smithconstruction.com/" TargetMode="External"/><Relationship Id="rId187" Type="http://schemas.openxmlformats.org/officeDocument/2006/relationships/hyperlink" Target="https://www.solarpanelbirdproofingkent.co.uk/" TargetMode="External"/><Relationship Id="rId1" Type="http://schemas.openxmlformats.org/officeDocument/2006/relationships/hyperlink" Target="https://www.andyparkpromotions.co.uk/" TargetMode="External"/><Relationship Id="rId28" Type="http://schemas.openxmlformats.org/officeDocument/2006/relationships/hyperlink" Target="https://scottaxi.com/" TargetMode="External"/><Relationship Id="rId49" Type="http://schemas.openxmlformats.org/officeDocument/2006/relationships/hyperlink" Target="https://www.artempainters.com/" TargetMode="External"/><Relationship Id="rId114" Type="http://schemas.openxmlformats.org/officeDocument/2006/relationships/hyperlink" Target="https://www.stabilus-safety.de/en/" TargetMode="External"/><Relationship Id="rId60" Type="http://schemas.openxmlformats.org/officeDocument/2006/relationships/hyperlink" Target="https://raefinancialservices.co.uk/" TargetMode="External"/><Relationship Id="rId81" Type="http://schemas.openxmlformats.org/officeDocument/2006/relationships/hyperlink" Target="https://drcautosales.co.uk/" TargetMode="External"/><Relationship Id="rId135" Type="http://schemas.openxmlformats.org/officeDocument/2006/relationships/hyperlink" Target="https://boilergastech.co.uk/" TargetMode="External"/><Relationship Id="rId156" Type="http://schemas.openxmlformats.org/officeDocument/2006/relationships/hyperlink" Target="https://eadrivingschool.co.uk/" TargetMode="External"/><Relationship Id="rId177" Type="http://schemas.openxmlformats.org/officeDocument/2006/relationships/hyperlink" Target="https://catesbyenglan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F34" sqref="F34"/>
    </sheetView>
  </sheetViews>
  <sheetFormatPr defaultRowHeight="14.5"/>
  <cols>
    <col min="1" max="1" width="2.81640625" bestFit="1" customWidth="1"/>
    <col min="2" max="2" width="55.08984375" bestFit="1" customWidth="1"/>
    <col min="3" max="3" width="14.453125" bestFit="1" customWidth="1"/>
    <col min="4" max="4" width="160" bestFit="1" customWidth="1"/>
  </cols>
  <sheetData>
    <row r="1" spans="1:4">
      <c r="A1" s="67" t="s">
        <v>1384</v>
      </c>
      <c r="B1" s="67" t="s">
        <v>1385</v>
      </c>
      <c r="C1" s="67" t="s">
        <v>1345</v>
      </c>
      <c r="D1" s="67" t="s">
        <v>1386</v>
      </c>
    </row>
    <row r="2" spans="1:4">
      <c r="A2" s="68">
        <v>1</v>
      </c>
      <c r="B2" s="68" t="s">
        <v>1392</v>
      </c>
      <c r="C2" s="69" t="s">
        <v>1393</v>
      </c>
      <c r="D2" s="68" t="s">
        <v>1387</v>
      </c>
    </row>
    <row r="3" spans="1:4">
      <c r="A3" s="68">
        <v>2</v>
      </c>
      <c r="B3" s="68" t="s">
        <v>1394</v>
      </c>
      <c r="C3" s="69" t="s">
        <v>1393</v>
      </c>
      <c r="D3" s="68" t="s">
        <v>1388</v>
      </c>
    </row>
    <row r="4" spans="1:4">
      <c r="A4" s="68">
        <v>3</v>
      </c>
      <c r="B4" s="68" t="s">
        <v>1395</v>
      </c>
      <c r="C4" s="70" t="s">
        <v>1396</v>
      </c>
      <c r="D4" s="68" t="s">
        <v>1403</v>
      </c>
    </row>
    <row r="5" spans="1:4">
      <c r="A5" s="68">
        <v>4</v>
      </c>
      <c r="B5" s="68" t="s">
        <v>1397</v>
      </c>
      <c r="C5" s="69" t="s">
        <v>1393</v>
      </c>
      <c r="D5" s="68" t="s">
        <v>1404</v>
      </c>
    </row>
    <row r="6" spans="1:4">
      <c r="A6" s="68">
        <v>5</v>
      </c>
      <c r="B6" s="68" t="s">
        <v>1398</v>
      </c>
      <c r="C6" s="69" t="s">
        <v>1393</v>
      </c>
      <c r="D6" s="68" t="s">
        <v>1389</v>
      </c>
    </row>
    <row r="7" spans="1:4">
      <c r="A7" s="68">
        <v>6</v>
      </c>
      <c r="B7" s="68" t="s">
        <v>1399</v>
      </c>
      <c r="C7" s="70" t="s">
        <v>1396</v>
      </c>
      <c r="D7" s="68" t="s">
        <v>1405</v>
      </c>
    </row>
    <row r="8" spans="1:4">
      <c r="A8" s="68">
        <v>7</v>
      </c>
      <c r="B8" s="68" t="s">
        <v>1400</v>
      </c>
      <c r="C8" s="70" t="s">
        <v>1396</v>
      </c>
      <c r="D8" s="68" t="s">
        <v>1406</v>
      </c>
    </row>
    <row r="9" spans="1:4">
      <c r="A9" s="68">
        <v>8</v>
      </c>
      <c r="B9" s="68" t="s">
        <v>1401</v>
      </c>
      <c r="C9" s="69" t="s">
        <v>1393</v>
      </c>
      <c r="D9" s="68" t="s">
        <v>1407</v>
      </c>
    </row>
    <row r="10" spans="1:4">
      <c r="A10" s="68">
        <v>9</v>
      </c>
      <c r="B10" s="68" t="s">
        <v>1390</v>
      </c>
      <c r="C10" s="70" t="s">
        <v>1396</v>
      </c>
      <c r="D10" s="68" t="s">
        <v>1408</v>
      </c>
    </row>
    <row r="11" spans="1:4">
      <c r="A11" s="68">
        <v>10</v>
      </c>
      <c r="B11" s="68" t="s">
        <v>1402</v>
      </c>
      <c r="C11" s="70" t="s">
        <v>1396</v>
      </c>
      <c r="D11" s="68" t="s">
        <v>1391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2"/>
  <sheetViews>
    <sheetView tabSelected="1" zoomScale="85" zoomScaleNormal="85" workbookViewId="0">
      <selection activeCell="A3" sqref="A3"/>
    </sheetView>
  </sheetViews>
  <sheetFormatPr defaultRowHeight="14.5"/>
  <cols>
    <col min="1" max="1" width="11.54296875" bestFit="1" customWidth="1"/>
    <col min="2" max="2" width="37.453125" customWidth="1"/>
    <col min="3" max="3" width="35.1796875" bestFit="1" customWidth="1"/>
    <col min="4" max="4" width="13.26953125" bestFit="1" customWidth="1"/>
    <col min="5" max="5" width="17" bestFit="1" customWidth="1"/>
    <col min="6" max="6" width="15.453125" bestFit="1" customWidth="1"/>
    <col min="7" max="7" width="15.453125" customWidth="1"/>
    <col min="8" max="8" width="11.1796875" bestFit="1" customWidth="1"/>
    <col min="9" max="9" width="20.54296875" bestFit="1" customWidth="1"/>
    <col min="10" max="10" width="17.90625" bestFit="1" customWidth="1"/>
    <col min="11" max="11" width="71.453125" bestFit="1" customWidth="1"/>
    <col min="12" max="12" width="15.1796875" bestFit="1" customWidth="1"/>
    <col min="13" max="13" width="34.6328125" customWidth="1"/>
    <col min="16" max="16" width="8.7265625" customWidth="1"/>
    <col min="17" max="17" width="14.6328125" customWidth="1"/>
  </cols>
  <sheetData>
    <row r="1" spans="1:14" ht="21">
      <c r="A1" s="71" t="s">
        <v>1352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29">
      <c r="A3" s="56" t="s">
        <v>1353</v>
      </c>
      <c r="B3" s="56"/>
      <c r="C3" s="56"/>
      <c r="D3" s="56" t="s">
        <v>1354</v>
      </c>
      <c r="E3" s="56"/>
      <c r="F3" s="56" t="s">
        <v>1355</v>
      </c>
      <c r="G3" s="56"/>
      <c r="H3" s="56" t="s">
        <v>337</v>
      </c>
      <c r="I3" s="56"/>
      <c r="J3" s="56" t="s">
        <v>94</v>
      </c>
      <c r="K3" s="56"/>
      <c r="L3" s="58" t="s">
        <v>366</v>
      </c>
      <c r="M3" s="59"/>
      <c r="N3" s="60" t="s">
        <v>1350</v>
      </c>
    </row>
    <row r="4" spans="1:14">
      <c r="A4" s="61">
        <v>28</v>
      </c>
      <c r="B4" s="61"/>
      <c r="C4" s="61"/>
      <c r="D4" s="61">
        <v>21</v>
      </c>
      <c r="E4" s="61"/>
      <c r="F4" s="61">
        <v>7</v>
      </c>
      <c r="G4" s="61"/>
      <c r="H4" s="61">
        <v>14</v>
      </c>
      <c r="I4" s="61"/>
      <c r="J4" s="61">
        <v>9</v>
      </c>
      <c r="K4" s="61"/>
      <c r="L4" s="62">
        <v>3</v>
      </c>
      <c r="M4" s="63"/>
      <c r="N4" s="64">
        <v>1</v>
      </c>
    </row>
    <row r="5" spans="1:14">
      <c r="A5" s="57"/>
      <c r="B5" s="57"/>
      <c r="C5" s="56"/>
      <c r="D5" s="56" t="s">
        <v>1356</v>
      </c>
      <c r="E5" s="56"/>
      <c r="F5" s="56" t="s">
        <v>1351</v>
      </c>
      <c r="G5" s="56"/>
      <c r="H5" s="56" t="s">
        <v>1357</v>
      </c>
      <c r="I5" s="56"/>
      <c r="J5" s="56" t="s">
        <v>1358</v>
      </c>
      <c r="K5" s="56"/>
      <c r="L5" s="58" t="s">
        <v>1359</v>
      </c>
      <c r="M5" s="59"/>
      <c r="N5" s="59"/>
    </row>
    <row r="6" spans="1:14">
      <c r="A6" s="57"/>
      <c r="B6" s="57"/>
      <c r="C6" s="56"/>
      <c r="D6" s="61">
        <f>SUMPRODUCT((D34:D62&lt;&gt;"BackedOff")*VALUE(SUBSTITUTE(SUBSTITUTE(H34:H62,"£",""),",","")))</f>
        <v>14214.33</v>
      </c>
      <c r="E6" s="61"/>
      <c r="F6" s="61">
        <f>SUMPRODUCT((D34:D62&lt;&gt;"BackedOff")*VALUE(SUBSTITUTE(SUBSTITUTE(I34:I62,"£",""),",","")))</f>
        <v>16124.8</v>
      </c>
      <c r="G6" s="61"/>
      <c r="H6" s="61" t="s">
        <v>286</v>
      </c>
      <c r="I6" s="61"/>
      <c r="J6" s="61" t="s">
        <v>286</v>
      </c>
      <c r="K6" s="61"/>
      <c r="L6" s="61" t="s">
        <v>286</v>
      </c>
      <c r="M6" s="59"/>
      <c r="N6" s="59"/>
    </row>
    <row r="29" spans="1:20">
      <c r="T29" s="55"/>
    </row>
    <row r="30" spans="1:20"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</row>
    <row r="31" spans="1:20">
      <c r="A31" s="72" t="s">
        <v>351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55"/>
      <c r="O31" s="55"/>
      <c r="P31" s="55"/>
      <c r="Q31" s="55"/>
      <c r="R31" s="55"/>
      <c r="S31" s="55"/>
      <c r="T31" s="55"/>
    </row>
    <row r="32" spans="1:20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55"/>
      <c r="O32" s="55"/>
      <c r="P32" s="55"/>
      <c r="Q32" s="55"/>
      <c r="R32" s="55"/>
      <c r="S32" s="55"/>
      <c r="T32" s="55"/>
    </row>
    <row r="33" spans="1:20">
      <c r="A33" s="27" t="s">
        <v>1345</v>
      </c>
      <c r="B33" s="27" t="s">
        <v>362</v>
      </c>
      <c r="C33" s="27" t="s">
        <v>1</v>
      </c>
      <c r="D33" s="27" t="s">
        <v>332</v>
      </c>
      <c r="E33" s="27" t="s">
        <v>333</v>
      </c>
      <c r="F33" s="27" t="s">
        <v>1308</v>
      </c>
      <c r="G33" s="27" t="s">
        <v>4</v>
      </c>
      <c r="H33" s="27" t="s">
        <v>334</v>
      </c>
      <c r="I33" s="27" t="s">
        <v>335</v>
      </c>
      <c r="J33" s="27" t="s">
        <v>336</v>
      </c>
      <c r="K33" s="27" t="s">
        <v>1347</v>
      </c>
      <c r="L33" s="27" t="s">
        <v>1348</v>
      </c>
      <c r="M33" s="27" t="s">
        <v>83</v>
      </c>
      <c r="N33" s="55"/>
      <c r="O33" s="55"/>
      <c r="P33" s="55"/>
      <c r="Q33" s="55"/>
      <c r="R33" s="55"/>
      <c r="S33" s="55"/>
      <c r="T33" s="55"/>
    </row>
    <row r="34" spans="1:20">
      <c r="A34" s="53" t="s">
        <v>410</v>
      </c>
      <c r="B34" s="3" t="s">
        <v>359</v>
      </c>
      <c r="C34" s="3" t="s">
        <v>359</v>
      </c>
      <c r="D34" s="30" t="s">
        <v>337</v>
      </c>
      <c r="E34" s="3" t="s">
        <v>338</v>
      </c>
      <c r="F34" s="3" t="s">
        <v>1372</v>
      </c>
      <c r="G34" s="3"/>
      <c r="H34" s="3" t="s">
        <v>339</v>
      </c>
      <c r="I34" s="3" t="s">
        <v>339</v>
      </c>
      <c r="J34" s="43" t="s">
        <v>286</v>
      </c>
      <c r="K34" s="43" t="s">
        <v>1373</v>
      </c>
      <c r="L34" s="43" t="s">
        <v>286</v>
      </c>
      <c r="M34" s="3" t="s">
        <v>1419</v>
      </c>
      <c r="N34" s="55"/>
      <c r="O34" s="55"/>
      <c r="P34" s="55"/>
      <c r="Q34" s="55"/>
      <c r="R34" s="55"/>
      <c r="S34" s="55"/>
      <c r="T34" s="55"/>
    </row>
    <row r="35" spans="1:20">
      <c r="A35" s="53" t="s">
        <v>410</v>
      </c>
      <c r="B35" s="3" t="s">
        <v>360</v>
      </c>
      <c r="C35" s="3" t="s">
        <v>360</v>
      </c>
      <c r="D35" s="30" t="s">
        <v>337</v>
      </c>
      <c r="E35" s="3" t="s">
        <v>338</v>
      </c>
      <c r="F35" s="3"/>
      <c r="G35" s="3"/>
      <c r="H35" s="3" t="s">
        <v>341</v>
      </c>
      <c r="I35" s="3" t="s">
        <v>342</v>
      </c>
      <c r="J35" s="43" t="s">
        <v>286</v>
      </c>
      <c r="K35" s="43" t="s">
        <v>1373</v>
      </c>
      <c r="L35" s="43" t="s">
        <v>286</v>
      </c>
      <c r="M35" s="3" t="s">
        <v>1420</v>
      </c>
      <c r="N35" s="55"/>
      <c r="O35" s="55"/>
      <c r="P35" s="55"/>
      <c r="Q35" s="55"/>
      <c r="R35" s="55"/>
      <c r="S35" s="55"/>
      <c r="T35" s="55"/>
    </row>
    <row r="36" spans="1:20">
      <c r="A36" s="53" t="s">
        <v>410</v>
      </c>
      <c r="B36" s="3" t="s">
        <v>358</v>
      </c>
      <c r="C36" s="3" t="s">
        <v>358</v>
      </c>
      <c r="D36" s="29" t="s">
        <v>94</v>
      </c>
      <c r="E36" s="3" t="s">
        <v>338</v>
      </c>
      <c r="F36" s="3" t="s">
        <v>1314</v>
      </c>
      <c r="G36" s="3" t="s">
        <v>1369</v>
      </c>
      <c r="H36" s="3" t="s">
        <v>343</v>
      </c>
      <c r="I36" s="3" t="s">
        <v>344</v>
      </c>
      <c r="J36" s="43" t="s">
        <v>286</v>
      </c>
      <c r="K36" s="43" t="s">
        <v>1373</v>
      </c>
      <c r="L36" s="43" t="s">
        <v>286</v>
      </c>
      <c r="M36" s="65" t="s">
        <v>94</v>
      </c>
      <c r="N36" s="55"/>
      <c r="O36" s="55"/>
      <c r="P36" s="55"/>
      <c r="Q36" s="55"/>
      <c r="R36" s="55"/>
      <c r="S36" s="55"/>
      <c r="T36" s="55"/>
    </row>
    <row r="37" spans="1:20">
      <c r="A37" s="53" t="s">
        <v>410</v>
      </c>
      <c r="B37" s="3" t="s">
        <v>361</v>
      </c>
      <c r="C37" s="3" t="s">
        <v>361</v>
      </c>
      <c r="D37" s="28" t="s">
        <v>366</v>
      </c>
      <c r="E37" s="3" t="s">
        <v>338</v>
      </c>
      <c r="F37" s="3"/>
      <c r="G37" s="3"/>
      <c r="H37" s="3" t="s">
        <v>342</v>
      </c>
      <c r="I37" s="3" t="s">
        <v>345</v>
      </c>
      <c r="J37" s="43" t="s">
        <v>286</v>
      </c>
      <c r="K37" s="43" t="s">
        <v>1373</v>
      </c>
      <c r="L37" s="43" t="s">
        <v>286</v>
      </c>
      <c r="M37" s="3" t="s">
        <v>1374</v>
      </c>
      <c r="N37" s="55"/>
      <c r="O37" s="55"/>
      <c r="P37" s="55"/>
      <c r="Q37" s="55"/>
      <c r="R37" s="55"/>
      <c r="S37" s="55"/>
      <c r="T37" s="55"/>
    </row>
    <row r="38" spans="1:20">
      <c r="A38" s="53" t="s">
        <v>410</v>
      </c>
      <c r="B38" s="43" t="s">
        <v>355</v>
      </c>
      <c r="C38" s="43" t="s">
        <v>355</v>
      </c>
      <c r="D38" s="28" t="s">
        <v>1315</v>
      </c>
      <c r="E38" s="43" t="s">
        <v>338</v>
      </c>
      <c r="F38" s="43"/>
      <c r="G38" s="43"/>
      <c r="H38" s="43" t="s">
        <v>342</v>
      </c>
      <c r="I38" s="43" t="s">
        <v>345</v>
      </c>
      <c r="J38" s="43" t="s">
        <v>286</v>
      </c>
      <c r="K38" s="43" t="s">
        <v>1373</v>
      </c>
      <c r="L38" s="43" t="s">
        <v>286</v>
      </c>
      <c r="M38" s="43" t="s">
        <v>286</v>
      </c>
      <c r="N38" s="55"/>
      <c r="O38" s="55"/>
      <c r="P38" s="55"/>
      <c r="Q38" s="55"/>
      <c r="R38" s="55"/>
      <c r="S38" s="55"/>
      <c r="T38" s="55"/>
    </row>
    <row r="39" spans="1:20">
      <c r="A39" s="53" t="s">
        <v>410</v>
      </c>
      <c r="B39" s="3" t="s">
        <v>356</v>
      </c>
      <c r="C39" s="3" t="s">
        <v>356</v>
      </c>
      <c r="D39" s="29" t="s">
        <v>94</v>
      </c>
      <c r="E39" s="3" t="s">
        <v>338</v>
      </c>
      <c r="F39" s="3" t="s">
        <v>1313</v>
      </c>
      <c r="G39" s="3" t="s">
        <v>1368</v>
      </c>
      <c r="H39" s="3" t="s">
        <v>347</v>
      </c>
      <c r="I39" s="3" t="s">
        <v>348</v>
      </c>
      <c r="J39" s="43" t="s">
        <v>286</v>
      </c>
      <c r="K39" s="43" t="s">
        <v>1373</v>
      </c>
      <c r="L39" s="43" t="s">
        <v>286</v>
      </c>
      <c r="M39" s="65" t="s">
        <v>94</v>
      </c>
      <c r="N39" s="55"/>
      <c r="O39" s="55"/>
      <c r="P39" s="55"/>
      <c r="Q39" s="55"/>
      <c r="R39" s="55"/>
      <c r="S39" s="55"/>
      <c r="T39" s="55"/>
    </row>
    <row r="40" spans="1:20">
      <c r="A40" s="53" t="s">
        <v>410</v>
      </c>
      <c r="B40" s="3" t="s">
        <v>357</v>
      </c>
      <c r="C40" s="3" t="s">
        <v>357</v>
      </c>
      <c r="D40" s="29" t="s">
        <v>94</v>
      </c>
      <c r="E40" s="3" t="s">
        <v>338</v>
      </c>
      <c r="F40" s="3" t="s">
        <v>1312</v>
      </c>
      <c r="G40" s="3" t="s">
        <v>1367</v>
      </c>
      <c r="H40" s="3" t="s">
        <v>349</v>
      </c>
      <c r="I40" s="3" t="s">
        <v>350</v>
      </c>
      <c r="J40" s="43" t="s">
        <v>286</v>
      </c>
      <c r="K40" s="43" t="s">
        <v>1373</v>
      </c>
      <c r="L40" s="43" t="s">
        <v>286</v>
      </c>
      <c r="M40" s="65" t="s">
        <v>94</v>
      </c>
      <c r="N40" s="55"/>
      <c r="O40" s="55"/>
      <c r="P40" s="55"/>
      <c r="Q40" s="55"/>
      <c r="R40" s="55"/>
      <c r="S40" s="55"/>
      <c r="T40" s="55"/>
    </row>
    <row r="41" spans="1:20">
      <c r="A41" s="53" t="s">
        <v>410</v>
      </c>
      <c r="B41" s="3" t="s">
        <v>365</v>
      </c>
      <c r="C41" s="3" t="s">
        <v>365</v>
      </c>
      <c r="D41" s="29" t="s">
        <v>94</v>
      </c>
      <c r="E41" s="3" t="s">
        <v>338</v>
      </c>
      <c r="F41" s="3" t="s">
        <v>1311</v>
      </c>
      <c r="G41" s="3"/>
      <c r="H41" s="3" t="s">
        <v>369</v>
      </c>
      <c r="I41" s="3" t="s">
        <v>370</v>
      </c>
      <c r="J41" s="43" t="s">
        <v>286</v>
      </c>
      <c r="K41" s="43" t="s">
        <v>1373</v>
      </c>
      <c r="L41" s="43" t="s">
        <v>286</v>
      </c>
      <c r="M41" s="65" t="s">
        <v>94</v>
      </c>
      <c r="N41" s="55"/>
      <c r="O41" s="55"/>
      <c r="P41" s="55"/>
      <c r="Q41" s="55"/>
      <c r="R41" s="55"/>
      <c r="S41" s="55"/>
      <c r="T41" s="55"/>
    </row>
    <row r="42" spans="1:20">
      <c r="A42" s="53" t="s">
        <v>410</v>
      </c>
      <c r="B42" s="3" t="s">
        <v>371</v>
      </c>
      <c r="C42" s="3" t="s">
        <v>371</v>
      </c>
      <c r="D42" s="30" t="s">
        <v>337</v>
      </c>
      <c r="E42" s="3" t="s">
        <v>338</v>
      </c>
      <c r="F42" s="3"/>
      <c r="G42" s="3"/>
      <c r="H42" s="3" t="s">
        <v>376</v>
      </c>
      <c r="I42" s="3" t="s">
        <v>375</v>
      </c>
      <c r="J42" s="43" t="s">
        <v>286</v>
      </c>
      <c r="K42" s="43" t="s">
        <v>1373</v>
      </c>
      <c r="L42" s="43" t="s">
        <v>286</v>
      </c>
      <c r="M42" s="3" t="s">
        <v>1375</v>
      </c>
      <c r="N42" s="55"/>
      <c r="O42" s="55"/>
      <c r="P42" s="55"/>
      <c r="Q42" s="55"/>
      <c r="R42" s="55"/>
      <c r="S42" s="55"/>
      <c r="T42" s="55"/>
    </row>
    <row r="43" spans="1:20">
      <c r="A43" s="53" t="s">
        <v>410</v>
      </c>
      <c r="B43" s="3" t="s">
        <v>372</v>
      </c>
      <c r="C43" s="3" t="s">
        <v>372</v>
      </c>
      <c r="D43" s="30" t="s">
        <v>337</v>
      </c>
      <c r="E43" s="3" t="s">
        <v>338</v>
      </c>
      <c r="F43" s="3"/>
      <c r="G43" s="3"/>
      <c r="H43" s="3" t="s">
        <v>373</v>
      </c>
      <c r="I43" s="3" t="s">
        <v>374</v>
      </c>
      <c r="J43" s="43" t="s">
        <v>286</v>
      </c>
      <c r="K43" s="43" t="s">
        <v>1373</v>
      </c>
      <c r="L43" s="43" t="s">
        <v>286</v>
      </c>
      <c r="M43" s="3" t="s">
        <v>1375</v>
      </c>
      <c r="N43" s="55"/>
      <c r="O43" s="55"/>
      <c r="P43" s="55"/>
      <c r="Q43" s="55"/>
      <c r="R43" s="55"/>
      <c r="S43" s="55"/>
      <c r="T43" s="55"/>
    </row>
    <row r="44" spans="1:20">
      <c r="A44" s="53" t="s">
        <v>410</v>
      </c>
      <c r="B44" s="3" t="s">
        <v>1316</v>
      </c>
      <c r="C44" s="3" t="s">
        <v>1316</v>
      </c>
      <c r="D44" s="29" t="s">
        <v>94</v>
      </c>
      <c r="E44" s="3" t="s">
        <v>338</v>
      </c>
      <c r="F44" s="3" t="s">
        <v>1310</v>
      </c>
      <c r="G44" s="3"/>
      <c r="H44" s="3" t="s">
        <v>378</v>
      </c>
      <c r="I44" s="3" t="s">
        <v>379</v>
      </c>
      <c r="J44" s="43" t="s">
        <v>286</v>
      </c>
      <c r="K44" s="43" t="s">
        <v>1373</v>
      </c>
      <c r="L44" s="43" t="s">
        <v>286</v>
      </c>
      <c r="M44" s="65" t="s">
        <v>94</v>
      </c>
      <c r="N44" s="55"/>
      <c r="O44" s="55"/>
      <c r="P44" s="55"/>
      <c r="Q44" s="55"/>
      <c r="R44" s="55"/>
      <c r="S44" s="55"/>
      <c r="T44" s="55"/>
    </row>
    <row r="45" spans="1:20">
      <c r="A45" s="53" t="s">
        <v>410</v>
      </c>
      <c r="B45" s="43" t="s">
        <v>380</v>
      </c>
      <c r="C45" s="43" t="s">
        <v>380</v>
      </c>
      <c r="D45" s="28" t="s">
        <v>366</v>
      </c>
      <c r="E45" s="43" t="s">
        <v>338</v>
      </c>
      <c r="F45" s="43"/>
      <c r="G45" s="43"/>
      <c r="H45" s="43" t="s">
        <v>381</v>
      </c>
      <c r="I45" s="43" t="s">
        <v>382</v>
      </c>
      <c r="J45" s="43" t="s">
        <v>286</v>
      </c>
      <c r="K45" s="43" t="s">
        <v>1373</v>
      </c>
      <c r="L45" s="43" t="s">
        <v>286</v>
      </c>
      <c r="M45" s="43" t="s">
        <v>286</v>
      </c>
      <c r="N45" s="55"/>
      <c r="O45" s="55"/>
      <c r="P45" s="55"/>
      <c r="Q45" s="55"/>
      <c r="R45" s="55"/>
      <c r="S45" s="55"/>
      <c r="T45" s="55"/>
    </row>
    <row r="46" spans="1:20">
      <c r="A46" s="53" t="s">
        <v>410</v>
      </c>
      <c r="B46" s="3" t="s">
        <v>1307</v>
      </c>
      <c r="C46" s="3" t="s">
        <v>1307</v>
      </c>
      <c r="D46" s="30" t="s">
        <v>337</v>
      </c>
      <c r="E46" s="3" t="s">
        <v>338</v>
      </c>
      <c r="F46" s="3" t="s">
        <v>1309</v>
      </c>
      <c r="G46" s="3"/>
      <c r="H46" s="3" t="s">
        <v>1058</v>
      </c>
      <c r="I46" s="3" t="s">
        <v>727</v>
      </c>
      <c r="J46" s="43" t="s">
        <v>286</v>
      </c>
      <c r="K46" s="43" t="s">
        <v>1373</v>
      </c>
      <c r="L46" s="43" t="s">
        <v>286</v>
      </c>
      <c r="M46" s="3" t="s">
        <v>1421</v>
      </c>
      <c r="N46" s="55"/>
      <c r="O46" s="55"/>
      <c r="P46" s="55"/>
      <c r="Q46" s="55"/>
      <c r="R46" s="55"/>
      <c r="S46" s="55"/>
      <c r="T46" s="55"/>
    </row>
    <row r="47" spans="1:20">
      <c r="A47" s="53" t="s">
        <v>410</v>
      </c>
      <c r="B47" s="3" t="s">
        <v>377</v>
      </c>
      <c r="C47" s="3" t="s">
        <v>377</v>
      </c>
      <c r="D47" s="29" t="s">
        <v>94</v>
      </c>
      <c r="E47" s="3" t="s">
        <v>338</v>
      </c>
      <c r="F47" s="3" t="s">
        <v>1317</v>
      </c>
      <c r="G47" s="3"/>
      <c r="H47" s="3" t="s">
        <v>1058</v>
      </c>
      <c r="I47" s="3" t="s">
        <v>727</v>
      </c>
      <c r="J47" s="43" t="s">
        <v>286</v>
      </c>
      <c r="K47" s="43" t="s">
        <v>1373</v>
      </c>
      <c r="L47" s="43" t="s">
        <v>286</v>
      </c>
      <c r="M47" s="65" t="s">
        <v>94</v>
      </c>
      <c r="N47" s="55"/>
      <c r="O47" s="55"/>
      <c r="P47" s="55"/>
      <c r="Q47" s="55"/>
      <c r="R47" s="55"/>
      <c r="S47" s="55"/>
      <c r="T47" s="55"/>
    </row>
    <row r="48" spans="1:20">
      <c r="A48" s="53" t="s">
        <v>410</v>
      </c>
      <c r="B48" s="3" t="s">
        <v>1318</v>
      </c>
      <c r="C48" s="3" t="s">
        <v>1318</v>
      </c>
      <c r="D48" s="30" t="s">
        <v>337</v>
      </c>
      <c r="E48" s="3" t="s">
        <v>338</v>
      </c>
      <c r="F48" s="3" t="s">
        <v>1319</v>
      </c>
      <c r="G48" s="3" t="s">
        <v>1365</v>
      </c>
      <c r="H48" s="3" t="s">
        <v>370</v>
      </c>
      <c r="I48" s="3" t="s">
        <v>1320</v>
      </c>
      <c r="J48" s="43" t="s">
        <v>286</v>
      </c>
      <c r="K48" s="43" t="s">
        <v>1373</v>
      </c>
      <c r="L48" s="43" t="s">
        <v>286</v>
      </c>
      <c r="M48" s="3" t="s">
        <v>1422</v>
      </c>
      <c r="N48" s="55"/>
      <c r="O48" s="55"/>
      <c r="P48" s="55"/>
      <c r="Q48" s="55"/>
      <c r="R48" s="55"/>
      <c r="S48" s="55"/>
      <c r="T48" s="55"/>
    </row>
    <row r="49" spans="1:23">
      <c r="A49" s="53" t="s">
        <v>410</v>
      </c>
      <c r="B49" s="3" t="s">
        <v>1321</v>
      </c>
      <c r="C49" s="3" t="s">
        <v>1321</v>
      </c>
      <c r="D49" s="30" t="s">
        <v>337</v>
      </c>
      <c r="E49" s="3" t="s">
        <v>338</v>
      </c>
      <c r="F49" s="3" t="s">
        <v>1322</v>
      </c>
      <c r="G49" s="3" t="s">
        <v>1366</v>
      </c>
      <c r="H49" s="3" t="s">
        <v>382</v>
      </c>
      <c r="I49" s="3" t="s">
        <v>378</v>
      </c>
      <c r="J49" s="43" t="s">
        <v>286</v>
      </c>
      <c r="K49" s="43" t="s">
        <v>1373</v>
      </c>
      <c r="L49" s="43" t="s">
        <v>286</v>
      </c>
      <c r="M49" s="3" t="s">
        <v>1423</v>
      </c>
      <c r="N49" s="55"/>
      <c r="O49" s="55"/>
      <c r="P49" s="55"/>
      <c r="Q49" s="55"/>
      <c r="R49" s="55"/>
      <c r="S49" s="55"/>
      <c r="T49" s="55"/>
    </row>
    <row r="50" spans="1:23">
      <c r="A50" s="53" t="s">
        <v>410</v>
      </c>
      <c r="B50" s="3" t="s">
        <v>1360</v>
      </c>
      <c r="C50" s="3" t="s">
        <v>1360</v>
      </c>
      <c r="D50" s="30" t="s">
        <v>337</v>
      </c>
      <c r="E50" s="3" t="s">
        <v>338</v>
      </c>
      <c r="F50" s="3" t="s">
        <v>1361</v>
      </c>
      <c r="G50" s="3" t="s">
        <v>1370</v>
      </c>
      <c r="H50" s="3" t="s">
        <v>438</v>
      </c>
      <c r="I50" s="3" t="s">
        <v>1362</v>
      </c>
      <c r="J50" s="43" t="s">
        <v>286</v>
      </c>
      <c r="K50" s="43" t="s">
        <v>1373</v>
      </c>
      <c r="L50" s="43" t="s">
        <v>286</v>
      </c>
      <c r="M50" s="65" t="s">
        <v>94</v>
      </c>
      <c r="N50" s="55"/>
      <c r="O50" s="55"/>
      <c r="P50" s="55"/>
      <c r="Q50" s="55"/>
      <c r="R50" s="55"/>
      <c r="S50" s="55"/>
      <c r="T50" s="55"/>
    </row>
    <row r="51" spans="1:23">
      <c r="A51" s="53" t="s">
        <v>410</v>
      </c>
      <c r="B51" s="3" t="s">
        <v>1379</v>
      </c>
      <c r="C51" s="3" t="s">
        <v>1379</v>
      </c>
      <c r="D51" s="30" t="s">
        <v>337</v>
      </c>
      <c r="E51" s="3" t="s">
        <v>338</v>
      </c>
      <c r="F51" s="3" t="s">
        <v>1380</v>
      </c>
      <c r="G51" s="3"/>
      <c r="H51" s="3" t="s">
        <v>369</v>
      </c>
      <c r="I51" s="3" t="s">
        <v>370</v>
      </c>
      <c r="J51" s="43" t="s">
        <v>286</v>
      </c>
      <c r="K51" s="43" t="s">
        <v>1373</v>
      </c>
      <c r="L51" s="43" t="s">
        <v>286</v>
      </c>
      <c r="M51" s="3" t="s">
        <v>1424</v>
      </c>
      <c r="N51" s="55"/>
      <c r="O51" s="55"/>
      <c r="P51" s="55"/>
      <c r="Q51" s="55"/>
      <c r="R51" s="55"/>
      <c r="S51" s="55"/>
      <c r="T51" s="55"/>
    </row>
    <row r="52" spans="1:23">
      <c r="A52" s="53" t="s">
        <v>410</v>
      </c>
      <c r="B52" s="3" t="s">
        <v>1376</v>
      </c>
      <c r="C52" s="3" t="s">
        <v>1376</v>
      </c>
      <c r="D52" s="28" t="s">
        <v>366</v>
      </c>
      <c r="E52" s="3" t="s">
        <v>338</v>
      </c>
      <c r="F52" s="3" t="s">
        <v>1378</v>
      </c>
      <c r="G52" s="3"/>
      <c r="H52" s="3" t="s">
        <v>370</v>
      </c>
      <c r="I52" s="3" t="s">
        <v>1320</v>
      </c>
      <c r="J52" s="43" t="s">
        <v>286</v>
      </c>
      <c r="K52" s="43" t="s">
        <v>1373</v>
      </c>
      <c r="L52" s="43" t="s">
        <v>286</v>
      </c>
      <c r="M52" s="3" t="s">
        <v>1409</v>
      </c>
      <c r="N52" s="55"/>
      <c r="O52" s="55"/>
      <c r="P52" s="55"/>
      <c r="Q52" s="55"/>
      <c r="R52" s="55"/>
      <c r="S52" s="55"/>
      <c r="T52" s="55"/>
    </row>
    <row r="53" spans="1:23">
      <c r="A53" s="53" t="s">
        <v>410</v>
      </c>
      <c r="B53" s="3" t="s">
        <v>1413</v>
      </c>
      <c r="C53" s="3" t="s">
        <v>1413</v>
      </c>
      <c r="D53" s="66" t="s">
        <v>1377</v>
      </c>
      <c r="E53" s="3" t="s">
        <v>338</v>
      </c>
      <c r="F53" s="3" t="s">
        <v>1414</v>
      </c>
      <c r="G53" s="3"/>
      <c r="H53" s="3" t="s">
        <v>1415</v>
      </c>
      <c r="I53" s="3" t="s">
        <v>364</v>
      </c>
      <c r="J53" s="43" t="s">
        <v>286</v>
      </c>
      <c r="K53" s="43" t="s">
        <v>1373</v>
      </c>
      <c r="L53" s="43" t="s">
        <v>286</v>
      </c>
      <c r="M53" s="3" t="s">
        <v>1412</v>
      </c>
      <c r="N53" s="55"/>
      <c r="O53" s="55"/>
      <c r="P53" s="55"/>
      <c r="Q53" s="55"/>
      <c r="R53" s="55"/>
      <c r="S53" s="55"/>
      <c r="T53" s="55"/>
    </row>
    <row r="54" spans="1:23">
      <c r="A54" s="53" t="s">
        <v>410</v>
      </c>
      <c r="B54" s="3" t="s">
        <v>1410</v>
      </c>
      <c r="C54" s="3" t="s">
        <v>1410</v>
      </c>
      <c r="D54" s="66" t="s">
        <v>1377</v>
      </c>
      <c r="E54" s="3" t="s">
        <v>338</v>
      </c>
      <c r="F54" s="3" t="s">
        <v>1411</v>
      </c>
      <c r="G54" s="3"/>
      <c r="H54" s="3" t="s">
        <v>1058</v>
      </c>
      <c r="I54" s="3" t="s">
        <v>727</v>
      </c>
      <c r="J54" s="43" t="s">
        <v>286</v>
      </c>
      <c r="K54" s="43" t="s">
        <v>1373</v>
      </c>
      <c r="L54" s="43" t="s">
        <v>286</v>
      </c>
      <c r="M54" s="3" t="s">
        <v>1412</v>
      </c>
      <c r="N54" s="55"/>
      <c r="O54" s="55"/>
      <c r="P54" s="55"/>
      <c r="Q54" s="55"/>
      <c r="R54" s="55"/>
      <c r="S54" s="55"/>
      <c r="T54" s="55"/>
    </row>
    <row r="55" spans="1:23">
      <c r="A55" s="53" t="s">
        <v>410</v>
      </c>
      <c r="B55" s="3" t="s">
        <v>1425</v>
      </c>
      <c r="C55" s="3" t="s">
        <v>1425</v>
      </c>
      <c r="D55" s="66" t="s">
        <v>1377</v>
      </c>
      <c r="E55" s="3" t="s">
        <v>338</v>
      </c>
      <c r="F55" s="3" t="s">
        <v>1426</v>
      </c>
      <c r="G55" s="3"/>
      <c r="H55" s="3" t="s">
        <v>559</v>
      </c>
      <c r="I55" s="3" t="s">
        <v>1427</v>
      </c>
      <c r="J55" s="43" t="s">
        <v>286</v>
      </c>
      <c r="K55" s="43" t="s">
        <v>1373</v>
      </c>
      <c r="L55" s="43" t="s">
        <v>286</v>
      </c>
      <c r="M55" s="3" t="s">
        <v>1412</v>
      </c>
      <c r="N55" s="55"/>
      <c r="O55" s="55"/>
      <c r="P55" s="55"/>
      <c r="Q55" s="55"/>
      <c r="R55" s="55"/>
      <c r="S55" s="55"/>
      <c r="T55" s="55"/>
    </row>
    <row r="56" spans="1:23">
      <c r="A56" s="54" t="s">
        <v>1346</v>
      </c>
      <c r="B56" s="3" t="s">
        <v>151</v>
      </c>
      <c r="C56" s="3" t="s">
        <v>151</v>
      </c>
      <c r="D56" s="29" t="s">
        <v>94</v>
      </c>
      <c r="E56" s="3" t="s">
        <v>338</v>
      </c>
      <c r="F56" s="3" t="s">
        <v>286</v>
      </c>
      <c r="G56" s="3" t="s">
        <v>1322</v>
      </c>
      <c r="H56" s="3" t="s">
        <v>352</v>
      </c>
      <c r="I56" s="3" t="s">
        <v>364</v>
      </c>
      <c r="J56" s="43" t="s">
        <v>286</v>
      </c>
      <c r="K56" s="43" t="s">
        <v>1373</v>
      </c>
      <c r="L56" s="43" t="s">
        <v>286</v>
      </c>
      <c r="M56" s="65" t="s">
        <v>94</v>
      </c>
      <c r="N56" s="55"/>
      <c r="O56" s="55"/>
      <c r="P56" s="55"/>
      <c r="Q56" s="55"/>
      <c r="R56" s="55"/>
      <c r="S56" s="55"/>
      <c r="T56" s="55"/>
    </row>
    <row r="57" spans="1:23">
      <c r="A57" s="54" t="s">
        <v>1346</v>
      </c>
      <c r="B57" s="3" t="s">
        <v>141</v>
      </c>
      <c r="C57" s="3" t="s">
        <v>141</v>
      </c>
      <c r="D57" s="29" t="s">
        <v>94</v>
      </c>
      <c r="E57" s="3" t="s">
        <v>338</v>
      </c>
      <c r="F57" s="3" t="s">
        <v>286</v>
      </c>
      <c r="G57" s="3"/>
      <c r="H57" s="3" t="s">
        <v>354</v>
      </c>
      <c r="I57" s="3" t="s">
        <v>363</v>
      </c>
      <c r="J57" s="43" t="s">
        <v>286</v>
      </c>
      <c r="K57" s="43" t="s">
        <v>1373</v>
      </c>
      <c r="L57" s="43" t="s">
        <v>286</v>
      </c>
      <c r="M57" s="65" t="s">
        <v>94</v>
      </c>
      <c r="N57" s="55"/>
      <c r="O57" s="55"/>
      <c r="P57" s="55"/>
      <c r="Q57" s="55"/>
      <c r="R57" s="55"/>
      <c r="S57" s="55"/>
      <c r="T57" s="55"/>
    </row>
    <row r="58" spans="1:23">
      <c r="A58" s="54" t="s">
        <v>1346</v>
      </c>
      <c r="B58" s="2" t="s">
        <v>82</v>
      </c>
      <c r="C58" s="2" t="s">
        <v>82</v>
      </c>
      <c r="D58" s="30" t="s">
        <v>337</v>
      </c>
      <c r="E58" s="3" t="s">
        <v>338</v>
      </c>
      <c r="F58" s="3" t="s">
        <v>286</v>
      </c>
      <c r="G58" s="3"/>
      <c r="H58" s="2" t="s">
        <v>367</v>
      </c>
      <c r="I58" s="2" t="s">
        <v>368</v>
      </c>
      <c r="J58" s="43" t="s">
        <v>286</v>
      </c>
      <c r="K58" s="43" t="s">
        <v>1373</v>
      </c>
      <c r="L58" s="43" t="s">
        <v>286</v>
      </c>
      <c r="M58" s="3" t="s">
        <v>1363</v>
      </c>
      <c r="N58" s="55"/>
      <c r="O58" s="55"/>
      <c r="P58" s="55"/>
      <c r="Q58" s="55"/>
      <c r="R58" s="55"/>
      <c r="S58" s="55"/>
      <c r="T58" s="55"/>
    </row>
    <row r="59" spans="1:23">
      <c r="A59" s="54" t="s">
        <v>1346</v>
      </c>
      <c r="B59" s="2" t="s">
        <v>1192</v>
      </c>
      <c r="C59" s="3" t="s">
        <v>1192</v>
      </c>
      <c r="D59" s="29" t="s">
        <v>94</v>
      </c>
      <c r="E59" s="3" t="s">
        <v>338</v>
      </c>
      <c r="F59" s="3" t="s">
        <v>286</v>
      </c>
      <c r="G59" s="3" t="s">
        <v>1371</v>
      </c>
      <c r="H59" s="2" t="s">
        <v>382</v>
      </c>
      <c r="I59" s="2" t="s">
        <v>373</v>
      </c>
      <c r="J59" s="43" t="s">
        <v>286</v>
      </c>
      <c r="K59" s="43" t="s">
        <v>1373</v>
      </c>
      <c r="L59" s="43" t="s">
        <v>286</v>
      </c>
      <c r="M59" s="65" t="s">
        <v>94</v>
      </c>
      <c r="N59" s="55"/>
      <c r="O59" s="55"/>
      <c r="P59" s="55"/>
      <c r="Q59" s="55"/>
      <c r="R59" s="55"/>
      <c r="S59" s="55"/>
      <c r="T59" s="55"/>
    </row>
    <row r="60" spans="1:23">
      <c r="A60" s="54" t="s">
        <v>1346</v>
      </c>
      <c r="B60" s="2" t="s">
        <v>1349</v>
      </c>
      <c r="C60" s="2" t="s">
        <v>1349</v>
      </c>
      <c r="D60" s="30" t="s">
        <v>337</v>
      </c>
      <c r="E60" s="3" t="s">
        <v>338</v>
      </c>
      <c r="F60" s="2" t="s">
        <v>286</v>
      </c>
      <c r="G60" s="13"/>
      <c r="H60" s="2" t="s">
        <v>382</v>
      </c>
      <c r="I60" s="2" t="s">
        <v>373</v>
      </c>
      <c r="J60" s="43" t="s">
        <v>286</v>
      </c>
      <c r="K60" s="43" t="s">
        <v>1373</v>
      </c>
      <c r="L60" s="43" t="s">
        <v>286</v>
      </c>
      <c r="M60" s="3" t="s">
        <v>1363</v>
      </c>
      <c r="N60" s="55"/>
      <c r="O60" s="55"/>
      <c r="P60" s="55"/>
      <c r="Q60" s="55"/>
      <c r="R60" s="55"/>
      <c r="S60" s="55"/>
      <c r="T60" s="55"/>
    </row>
    <row r="61" spans="1:23">
      <c r="A61" s="54" t="s">
        <v>1346</v>
      </c>
      <c r="B61" s="2" t="s">
        <v>1381</v>
      </c>
      <c r="C61" s="2" t="s">
        <v>1381</v>
      </c>
      <c r="D61" s="30" t="s">
        <v>337</v>
      </c>
      <c r="E61" s="3" t="s">
        <v>338</v>
      </c>
      <c r="F61" s="2" t="s">
        <v>1382</v>
      </c>
      <c r="G61" s="13"/>
      <c r="H61" s="2" t="s">
        <v>1016</v>
      </c>
      <c r="I61" s="2" t="s">
        <v>1016</v>
      </c>
      <c r="J61" s="43" t="s">
        <v>286</v>
      </c>
      <c r="K61" s="43" t="s">
        <v>1373</v>
      </c>
      <c r="L61" s="43" t="s">
        <v>286</v>
      </c>
      <c r="M61" s="3" t="s">
        <v>1364</v>
      </c>
      <c r="N61" s="55"/>
      <c r="O61" s="55"/>
      <c r="P61" s="55"/>
      <c r="Q61" s="55"/>
      <c r="R61" s="55"/>
      <c r="S61" s="55"/>
      <c r="T61" s="55"/>
    </row>
    <row r="62" spans="1:23">
      <c r="A62" s="54" t="s">
        <v>1346</v>
      </c>
      <c r="B62" s="2" t="s">
        <v>1416</v>
      </c>
      <c r="C62" s="2" t="s">
        <v>1416</v>
      </c>
      <c r="D62" s="30" t="s">
        <v>337</v>
      </c>
      <c r="E62" s="3" t="s">
        <v>338</v>
      </c>
      <c r="F62" s="2" t="s">
        <v>1417</v>
      </c>
      <c r="G62" s="13"/>
      <c r="H62" s="2" t="s">
        <v>370</v>
      </c>
      <c r="I62" s="2" t="s">
        <v>1320</v>
      </c>
      <c r="J62" s="43" t="s">
        <v>286</v>
      </c>
      <c r="K62" s="43" t="s">
        <v>1373</v>
      </c>
      <c r="L62" s="43" t="s">
        <v>286</v>
      </c>
      <c r="M62" s="3" t="s">
        <v>1418</v>
      </c>
      <c r="N62" s="55"/>
      <c r="O62" s="55"/>
      <c r="P62" s="55"/>
      <c r="Q62" s="55"/>
      <c r="R62" s="55"/>
      <c r="S62" s="55"/>
      <c r="T62" s="55"/>
    </row>
    <row r="63" spans="1:23"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</row>
    <row r="64" spans="1:23"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</row>
    <row r="65" spans="10:23"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</row>
    <row r="66" spans="10:23"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</row>
    <row r="67" spans="10:23"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</row>
    <row r="68" spans="10:23"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</row>
    <row r="69" spans="10:23"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</row>
    <row r="70" spans="10:23"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</row>
    <row r="71" spans="10:23"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</row>
    <row r="72" spans="10:23"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</row>
  </sheetData>
  <mergeCells count="2">
    <mergeCell ref="A1:N1"/>
    <mergeCell ref="A31:M3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zoomScaleNormal="100" workbookViewId="0"/>
  </sheetViews>
  <sheetFormatPr defaultRowHeight="14.5"/>
  <cols>
    <col min="1" max="1" width="5.1796875" bestFit="1" customWidth="1"/>
    <col min="2" max="2" width="66.08984375" bestFit="1" customWidth="1"/>
    <col min="3" max="3" width="22.81640625" bestFit="1" customWidth="1"/>
    <col min="4" max="4" width="15.6328125" bestFit="1" customWidth="1"/>
    <col min="5" max="5" width="12" bestFit="1" customWidth="1"/>
    <col min="6" max="6" width="28.6328125" bestFit="1" customWidth="1"/>
    <col min="7" max="7" width="14.90625" bestFit="1" customWidth="1"/>
    <col min="8" max="8" width="16.1796875" bestFit="1" customWidth="1"/>
  </cols>
  <sheetData>
    <row r="1" spans="1:8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</row>
    <row r="2" spans="1:8">
      <c r="A2" s="45">
        <v>1</v>
      </c>
      <c r="B2" s="46" t="s">
        <v>1324</v>
      </c>
      <c r="C2" s="46" t="s">
        <v>29</v>
      </c>
      <c r="D2" s="46" t="s">
        <v>286</v>
      </c>
      <c r="E2" s="46" t="s">
        <v>286</v>
      </c>
      <c r="F2" s="46" t="s">
        <v>1323</v>
      </c>
      <c r="G2" s="49" t="s">
        <v>9</v>
      </c>
      <c r="H2" s="46" t="s">
        <v>31</v>
      </c>
    </row>
    <row r="3" spans="1:8">
      <c r="A3" s="45">
        <v>2</v>
      </c>
      <c r="B3" s="46" t="s">
        <v>1325</v>
      </c>
      <c r="C3" s="46" t="s">
        <v>29</v>
      </c>
      <c r="D3" s="46" t="s">
        <v>286</v>
      </c>
      <c r="E3" s="46" t="s">
        <v>286</v>
      </c>
      <c r="F3" s="46" t="s">
        <v>1323</v>
      </c>
      <c r="G3" s="49" t="s">
        <v>9</v>
      </c>
      <c r="H3" s="46" t="s">
        <v>31</v>
      </c>
    </row>
    <row r="4" spans="1:8">
      <c r="A4" s="45">
        <v>3</v>
      </c>
      <c r="B4" s="46" t="s">
        <v>1326</v>
      </c>
      <c r="C4" s="46" t="s">
        <v>29</v>
      </c>
      <c r="D4" s="46" t="s">
        <v>286</v>
      </c>
      <c r="E4" s="46" t="s">
        <v>286</v>
      </c>
      <c r="F4" s="46" t="s">
        <v>1323</v>
      </c>
      <c r="G4" s="49" t="s">
        <v>9</v>
      </c>
      <c r="H4" s="46" t="s">
        <v>31</v>
      </c>
    </row>
    <row r="5" spans="1:8">
      <c r="A5" s="45">
        <v>4</v>
      </c>
      <c r="B5" s="46" t="s">
        <v>1327</v>
      </c>
      <c r="C5" s="46" t="s">
        <v>29</v>
      </c>
      <c r="D5" s="46" t="s">
        <v>286</v>
      </c>
      <c r="E5" s="46" t="s">
        <v>286</v>
      </c>
      <c r="F5" s="46" t="s">
        <v>1323</v>
      </c>
      <c r="G5" s="49" t="s">
        <v>9</v>
      </c>
      <c r="H5" s="46" t="s">
        <v>31</v>
      </c>
    </row>
    <row r="6" spans="1:8">
      <c r="A6" s="45">
        <v>6</v>
      </c>
      <c r="B6" s="46" t="s">
        <v>1328</v>
      </c>
      <c r="C6" s="46" t="s">
        <v>29</v>
      </c>
      <c r="D6" s="46" t="s">
        <v>286</v>
      </c>
      <c r="E6" s="46" t="s">
        <v>286</v>
      </c>
      <c r="F6" s="46" t="s">
        <v>1323</v>
      </c>
      <c r="G6" s="49" t="s">
        <v>9</v>
      </c>
      <c r="H6" s="46" t="s">
        <v>31</v>
      </c>
    </row>
    <row r="7" spans="1:8">
      <c r="A7" s="45">
        <v>7</v>
      </c>
      <c r="B7" s="46" t="s">
        <v>1329</v>
      </c>
      <c r="C7" s="46" t="s">
        <v>29</v>
      </c>
      <c r="D7" s="46" t="s">
        <v>286</v>
      </c>
      <c r="E7" s="46" t="s">
        <v>286</v>
      </c>
      <c r="F7" s="46" t="s">
        <v>1323</v>
      </c>
      <c r="G7" s="49" t="s">
        <v>9</v>
      </c>
      <c r="H7" s="46" t="s">
        <v>31</v>
      </c>
    </row>
    <row r="8" spans="1:8">
      <c r="A8" s="45">
        <v>8</v>
      </c>
      <c r="B8" s="46" t="s">
        <v>1330</v>
      </c>
      <c r="C8" s="46" t="s">
        <v>29</v>
      </c>
      <c r="D8" s="46" t="s">
        <v>286</v>
      </c>
      <c r="E8" s="46" t="s">
        <v>286</v>
      </c>
      <c r="F8" s="46" t="s">
        <v>1323</v>
      </c>
      <c r="G8" s="49" t="s">
        <v>9</v>
      </c>
      <c r="H8" s="46" t="s">
        <v>31</v>
      </c>
    </row>
    <row r="9" spans="1:8">
      <c r="A9" s="45">
        <v>9</v>
      </c>
      <c r="B9" s="46" t="s">
        <v>1331</v>
      </c>
      <c r="C9" s="46" t="s">
        <v>29</v>
      </c>
      <c r="D9" s="46" t="s">
        <v>286</v>
      </c>
      <c r="E9" s="46" t="s">
        <v>286</v>
      </c>
      <c r="F9" s="46" t="s">
        <v>1323</v>
      </c>
      <c r="G9" s="49" t="s">
        <v>9</v>
      </c>
      <c r="H9" s="46" t="s">
        <v>31</v>
      </c>
    </row>
    <row r="10" spans="1:8">
      <c r="A10" s="45">
        <v>10</v>
      </c>
      <c r="B10" s="46" t="s">
        <v>1332</v>
      </c>
      <c r="C10" s="46" t="s">
        <v>29</v>
      </c>
      <c r="D10" s="46" t="s">
        <v>286</v>
      </c>
      <c r="E10" s="46" t="s">
        <v>286</v>
      </c>
      <c r="F10" s="46" t="s">
        <v>1323</v>
      </c>
      <c r="G10" s="49" t="s">
        <v>9</v>
      </c>
      <c r="H10" s="46" t="s">
        <v>31</v>
      </c>
    </row>
    <row r="11" spans="1:8">
      <c r="A11" s="45">
        <v>11</v>
      </c>
      <c r="B11" s="46" t="s">
        <v>1333</v>
      </c>
      <c r="C11" s="46" t="s">
        <v>29</v>
      </c>
      <c r="D11" s="46" t="s">
        <v>286</v>
      </c>
      <c r="E11" s="46" t="s">
        <v>286</v>
      </c>
      <c r="F11" s="46" t="s">
        <v>1323</v>
      </c>
      <c r="G11" s="49" t="s">
        <v>9</v>
      </c>
      <c r="H11" s="46" t="s">
        <v>31</v>
      </c>
    </row>
    <row r="12" spans="1:8">
      <c r="A12" s="45">
        <v>12</v>
      </c>
      <c r="B12" s="46" t="s">
        <v>1334</v>
      </c>
      <c r="C12" s="46" t="s">
        <v>29</v>
      </c>
      <c r="D12" s="46" t="s">
        <v>286</v>
      </c>
      <c r="E12" s="46" t="s">
        <v>286</v>
      </c>
      <c r="F12" s="46" t="s">
        <v>1323</v>
      </c>
      <c r="G12" s="50" t="s">
        <v>77</v>
      </c>
      <c r="H12" s="46" t="s">
        <v>31</v>
      </c>
    </row>
    <row r="13" spans="1:8">
      <c r="A13" s="45">
        <v>13</v>
      </c>
      <c r="B13" s="46" t="s">
        <v>1335</v>
      </c>
      <c r="C13" s="46" t="s">
        <v>29</v>
      </c>
      <c r="D13" s="46" t="s">
        <v>286</v>
      </c>
      <c r="E13" s="46" t="s">
        <v>286</v>
      </c>
      <c r="F13" s="46" t="s">
        <v>1323</v>
      </c>
      <c r="G13" s="50" t="s">
        <v>77</v>
      </c>
      <c r="H13" s="46" t="s">
        <v>31</v>
      </c>
    </row>
    <row r="14" spans="1:8">
      <c r="A14" s="45">
        <v>14</v>
      </c>
      <c r="B14" s="46" t="s">
        <v>1336</v>
      </c>
      <c r="C14" s="46" t="s">
        <v>29</v>
      </c>
      <c r="D14" s="46" t="s">
        <v>286</v>
      </c>
      <c r="E14" s="46" t="s">
        <v>286</v>
      </c>
      <c r="F14" s="46" t="s">
        <v>1323</v>
      </c>
      <c r="G14" s="50" t="s">
        <v>77</v>
      </c>
      <c r="H14" s="46" t="s">
        <v>31</v>
      </c>
    </row>
    <row r="15" spans="1:8">
      <c r="A15" s="45">
        <v>15</v>
      </c>
      <c r="B15" s="46" t="s">
        <v>1337</v>
      </c>
      <c r="C15" s="46" t="s">
        <v>29</v>
      </c>
      <c r="D15" s="46" t="s">
        <v>286</v>
      </c>
      <c r="E15" s="46" t="s">
        <v>286</v>
      </c>
      <c r="F15" s="46" t="s">
        <v>1323</v>
      </c>
      <c r="G15" s="50" t="s">
        <v>77</v>
      </c>
      <c r="H15" s="46" t="s">
        <v>31</v>
      </c>
    </row>
    <row r="16" spans="1:8">
      <c r="A16" s="45">
        <v>16.373626373626301</v>
      </c>
      <c r="B16" s="46" t="s">
        <v>1338</v>
      </c>
      <c r="C16" s="46" t="s">
        <v>29</v>
      </c>
      <c r="D16" s="46" t="s">
        <v>286</v>
      </c>
      <c r="E16" s="46" t="s">
        <v>286</v>
      </c>
      <c r="F16" s="46" t="s">
        <v>1323</v>
      </c>
      <c r="G16" s="50" t="s">
        <v>77</v>
      </c>
      <c r="H16" s="46" t="s">
        <v>31</v>
      </c>
    </row>
    <row r="17" spans="1:8">
      <c r="A17" s="45">
        <v>17.4615384615384</v>
      </c>
      <c r="B17" s="46" t="s">
        <v>1339</v>
      </c>
      <c r="C17" s="46" t="s">
        <v>29</v>
      </c>
      <c r="D17" s="46" t="s">
        <v>286</v>
      </c>
      <c r="E17" s="46" t="s">
        <v>286</v>
      </c>
      <c r="F17" s="46" t="s">
        <v>1323</v>
      </c>
      <c r="G17" s="47" t="s">
        <v>1342</v>
      </c>
      <c r="H17" s="46" t="s">
        <v>31</v>
      </c>
    </row>
    <row r="18" spans="1:8">
      <c r="A18" s="45">
        <v>18.549450549450501</v>
      </c>
      <c r="B18" s="46" t="s">
        <v>1340</v>
      </c>
      <c r="C18" s="46" t="s">
        <v>29</v>
      </c>
      <c r="D18" s="46" t="s">
        <v>286</v>
      </c>
      <c r="E18" s="46" t="s">
        <v>286</v>
      </c>
      <c r="F18" s="46" t="s">
        <v>1323</v>
      </c>
      <c r="G18" s="48" t="s">
        <v>346</v>
      </c>
      <c r="H18" s="46" t="s">
        <v>31</v>
      </c>
    </row>
    <row r="19" spans="1:8">
      <c r="A19" s="45">
        <v>19.6373626373626</v>
      </c>
      <c r="B19" s="46" t="s">
        <v>1341</v>
      </c>
      <c r="C19" s="46" t="s">
        <v>29</v>
      </c>
      <c r="D19" s="46" t="s">
        <v>286</v>
      </c>
      <c r="E19" s="46" t="s">
        <v>286</v>
      </c>
      <c r="F19" s="46" t="s">
        <v>1323</v>
      </c>
      <c r="G19" s="48" t="s">
        <v>346</v>
      </c>
      <c r="H19" s="46" t="s">
        <v>31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zoomScaleNormal="100" workbookViewId="0">
      <selection activeCell="B59" sqref="B59"/>
    </sheetView>
  </sheetViews>
  <sheetFormatPr defaultRowHeight="14.5"/>
  <cols>
    <col min="1" max="1" width="56.54296875" bestFit="1" customWidth="1"/>
    <col min="2" max="2" width="101.90625" bestFit="1" customWidth="1"/>
    <col min="3" max="3" width="11.90625" bestFit="1" customWidth="1"/>
    <col min="4" max="4" width="41.90625" bestFit="1" customWidth="1"/>
    <col min="5" max="5" width="10.90625" bestFit="1" customWidth="1"/>
    <col min="6" max="6" width="101.90625" bestFit="1" customWidth="1"/>
    <col min="7" max="7" width="10.08984375" bestFit="1" customWidth="1"/>
  </cols>
  <sheetData>
    <row r="1" spans="1:5">
      <c r="A1" s="22" t="s">
        <v>263</v>
      </c>
      <c r="B1" s="22" t="s">
        <v>264</v>
      </c>
      <c r="C1" s="22" t="s">
        <v>6</v>
      </c>
      <c r="D1" s="22" t="s">
        <v>283</v>
      </c>
      <c r="E1" s="22" t="s">
        <v>287</v>
      </c>
    </row>
    <row r="2" spans="1:5">
      <c r="A2" s="73" t="s">
        <v>265</v>
      </c>
      <c r="B2" s="74"/>
      <c r="C2" s="74"/>
      <c r="D2" s="74"/>
      <c r="E2" s="75"/>
    </row>
    <row r="3" spans="1:5">
      <c r="A3" s="21" t="s">
        <v>266</v>
      </c>
      <c r="B3" s="21" t="s">
        <v>267</v>
      </c>
      <c r="C3" s="20" t="s">
        <v>9</v>
      </c>
      <c r="D3" s="2" t="s">
        <v>284</v>
      </c>
      <c r="E3" s="2" t="s">
        <v>288</v>
      </c>
    </row>
    <row r="4" spans="1:5">
      <c r="A4" s="21" t="s">
        <v>46</v>
      </c>
      <c r="B4" s="21" t="s">
        <v>268</v>
      </c>
      <c r="C4" s="20" t="s">
        <v>9</v>
      </c>
      <c r="D4" s="2" t="s">
        <v>284</v>
      </c>
      <c r="E4" s="2" t="s">
        <v>289</v>
      </c>
    </row>
    <row r="5" spans="1:5">
      <c r="A5" s="21" t="s">
        <v>269</v>
      </c>
      <c r="B5" s="21" t="s">
        <v>270</v>
      </c>
      <c r="C5" s="20" t="s">
        <v>271</v>
      </c>
      <c r="D5" s="2" t="s">
        <v>284</v>
      </c>
      <c r="E5" s="2" t="s">
        <v>289</v>
      </c>
    </row>
    <row r="6" spans="1:5">
      <c r="A6" s="21" t="s">
        <v>272</v>
      </c>
      <c r="B6" s="21" t="s">
        <v>273</v>
      </c>
      <c r="C6" s="20" t="s">
        <v>9</v>
      </c>
      <c r="D6" s="2" t="s">
        <v>284</v>
      </c>
      <c r="E6" s="2" t="s">
        <v>290</v>
      </c>
    </row>
    <row r="7" spans="1:5">
      <c r="A7" s="21" t="s">
        <v>274</v>
      </c>
      <c r="B7" s="21" t="s">
        <v>275</v>
      </c>
      <c r="C7" s="20" t="s">
        <v>276</v>
      </c>
      <c r="D7" s="2" t="s">
        <v>285</v>
      </c>
      <c r="E7" s="2" t="s">
        <v>290</v>
      </c>
    </row>
    <row r="8" spans="1:5">
      <c r="A8" s="21" t="s">
        <v>137</v>
      </c>
      <c r="B8" s="21" t="s">
        <v>277</v>
      </c>
      <c r="C8" s="20" t="s">
        <v>278</v>
      </c>
      <c r="D8" s="2" t="s">
        <v>284</v>
      </c>
      <c r="E8" s="2" t="s">
        <v>288</v>
      </c>
    </row>
    <row r="9" spans="1:5">
      <c r="A9" s="73" t="s">
        <v>279</v>
      </c>
      <c r="B9" s="74"/>
      <c r="C9" s="74"/>
      <c r="D9" s="74"/>
      <c r="E9" s="75"/>
    </row>
    <row r="10" spans="1:5">
      <c r="A10" s="21" t="s">
        <v>80</v>
      </c>
      <c r="B10" s="21" t="s">
        <v>1383</v>
      </c>
      <c r="C10" s="20" t="s">
        <v>280</v>
      </c>
      <c r="D10" s="2" t="s">
        <v>286</v>
      </c>
      <c r="E10" s="2" t="s">
        <v>286</v>
      </c>
    </row>
    <row r="11" spans="1:5">
      <c r="A11" s="21" t="s">
        <v>281</v>
      </c>
      <c r="B11" s="21" t="s">
        <v>282</v>
      </c>
      <c r="C11" s="20" t="s">
        <v>94</v>
      </c>
      <c r="D11" s="2" t="s">
        <v>284</v>
      </c>
      <c r="E11" s="2" t="s">
        <v>288</v>
      </c>
    </row>
    <row r="14" spans="1:5">
      <c r="A14" s="23" t="s">
        <v>263</v>
      </c>
      <c r="B14" s="23" t="s">
        <v>292</v>
      </c>
      <c r="C14" s="23" t="s">
        <v>6</v>
      </c>
      <c r="D14" s="23" t="s">
        <v>283</v>
      </c>
      <c r="E14" s="23" t="s">
        <v>287</v>
      </c>
    </row>
    <row r="15" spans="1:5">
      <c r="A15" s="73" t="s">
        <v>265</v>
      </c>
      <c r="B15" s="74"/>
      <c r="C15" s="74"/>
      <c r="D15" s="74"/>
      <c r="E15" s="75"/>
    </row>
    <row r="16" spans="1:5">
      <c r="A16" s="21" t="s">
        <v>266</v>
      </c>
      <c r="B16" s="21" t="s">
        <v>291</v>
      </c>
      <c r="C16" s="20" t="s">
        <v>9</v>
      </c>
      <c r="D16" s="2" t="s">
        <v>284</v>
      </c>
      <c r="E16" s="2" t="s">
        <v>289</v>
      </c>
    </row>
    <row r="17" spans="1:5">
      <c r="A17" s="21" t="s">
        <v>46</v>
      </c>
      <c r="B17" s="21" t="s">
        <v>293</v>
      </c>
      <c r="C17" s="20" t="s">
        <v>9</v>
      </c>
      <c r="D17" s="2" t="s">
        <v>284</v>
      </c>
      <c r="E17" s="2" t="s">
        <v>297</v>
      </c>
    </row>
    <row r="18" spans="1:5">
      <c r="A18" s="21"/>
      <c r="B18" s="21"/>
      <c r="C18" s="20"/>
      <c r="D18" s="2"/>
      <c r="E18" s="2"/>
    </row>
    <row r="19" spans="1:5">
      <c r="A19" s="21"/>
      <c r="B19" s="21"/>
      <c r="C19" s="20"/>
      <c r="D19" s="2"/>
      <c r="E19" s="2"/>
    </row>
    <row r="20" spans="1:5">
      <c r="A20" s="21"/>
      <c r="B20" s="21"/>
      <c r="C20" s="20"/>
      <c r="D20" s="2"/>
      <c r="E20" s="2"/>
    </row>
    <row r="21" spans="1:5">
      <c r="A21" s="21"/>
      <c r="B21" s="21"/>
      <c r="C21" s="20"/>
      <c r="D21" s="2"/>
      <c r="E21" s="2"/>
    </row>
    <row r="22" spans="1:5">
      <c r="A22" s="73" t="s">
        <v>294</v>
      </c>
      <c r="B22" s="74"/>
      <c r="C22" s="74"/>
      <c r="D22" s="74"/>
      <c r="E22" s="75"/>
    </row>
    <row r="23" spans="1:5">
      <c r="A23" s="21" t="s">
        <v>295</v>
      </c>
      <c r="B23" s="21" t="s">
        <v>296</v>
      </c>
      <c r="C23" s="20" t="s">
        <v>9</v>
      </c>
      <c r="D23" s="2" t="s">
        <v>284</v>
      </c>
      <c r="E23" s="2" t="s">
        <v>297</v>
      </c>
    </row>
    <row r="27" spans="1:5">
      <c r="A27" s="25" t="s">
        <v>298</v>
      </c>
      <c r="B27" s="25" t="s">
        <v>299</v>
      </c>
      <c r="C27" s="25" t="s">
        <v>300</v>
      </c>
      <c r="D27" s="25" t="s">
        <v>301</v>
      </c>
      <c r="E27" s="25" t="s">
        <v>287</v>
      </c>
    </row>
    <row r="28" spans="1:5">
      <c r="A28" s="24" t="s">
        <v>302</v>
      </c>
      <c r="B28" s="24" t="s">
        <v>303</v>
      </c>
      <c r="C28" s="26" t="s">
        <v>304</v>
      </c>
      <c r="D28" s="24" t="s">
        <v>305</v>
      </c>
      <c r="E28" s="76" t="s">
        <v>289</v>
      </c>
    </row>
    <row r="29" spans="1:5">
      <c r="A29" s="24" t="s">
        <v>306</v>
      </c>
      <c r="B29" s="24" t="s">
        <v>307</v>
      </c>
      <c r="C29" s="26" t="s">
        <v>304</v>
      </c>
      <c r="D29" s="24" t="s">
        <v>308</v>
      </c>
      <c r="E29" s="76"/>
    </row>
    <row r="30" spans="1:5">
      <c r="A30" s="24" t="s">
        <v>309</v>
      </c>
      <c r="B30" s="24" t="s">
        <v>310</v>
      </c>
      <c r="C30" s="26" t="s">
        <v>304</v>
      </c>
      <c r="D30" s="24" t="s">
        <v>311</v>
      </c>
      <c r="E30" s="76"/>
    </row>
    <row r="31" spans="1:5">
      <c r="A31" s="24" t="s">
        <v>312</v>
      </c>
      <c r="B31" s="24" t="s">
        <v>313</v>
      </c>
      <c r="C31" s="26" t="s">
        <v>304</v>
      </c>
      <c r="D31" s="24" t="s">
        <v>314</v>
      </c>
      <c r="E31" s="76"/>
    </row>
    <row r="32" spans="1:5">
      <c r="A32" s="24" t="s">
        <v>315</v>
      </c>
      <c r="B32" s="24" t="s">
        <v>316</v>
      </c>
      <c r="C32" s="26" t="s">
        <v>304</v>
      </c>
      <c r="D32" s="24" t="s">
        <v>317</v>
      </c>
      <c r="E32" s="76"/>
    </row>
    <row r="33" spans="1:5">
      <c r="A33" s="24" t="s">
        <v>318</v>
      </c>
      <c r="B33" s="24" t="s">
        <v>316</v>
      </c>
      <c r="C33" s="26" t="s">
        <v>304</v>
      </c>
      <c r="D33" s="24" t="s">
        <v>319</v>
      </c>
      <c r="E33" s="76"/>
    </row>
    <row r="34" spans="1:5">
      <c r="A34" s="24" t="s">
        <v>320</v>
      </c>
      <c r="B34" s="24" t="s">
        <v>321</v>
      </c>
      <c r="C34" s="26" t="s">
        <v>304</v>
      </c>
      <c r="D34" s="24" t="s">
        <v>322</v>
      </c>
      <c r="E34" s="76"/>
    </row>
    <row r="35" spans="1:5">
      <c r="A35" s="24" t="s">
        <v>323</v>
      </c>
      <c r="B35" s="24" t="s">
        <v>324</v>
      </c>
      <c r="C35" s="26" t="s">
        <v>304</v>
      </c>
      <c r="D35" s="24" t="s">
        <v>325</v>
      </c>
      <c r="E35" s="76"/>
    </row>
    <row r="36" spans="1:5">
      <c r="A36" s="24" t="s">
        <v>326</v>
      </c>
      <c r="B36" s="24" t="s">
        <v>327</v>
      </c>
      <c r="C36" s="26" t="s">
        <v>304</v>
      </c>
      <c r="D36" s="24" t="s">
        <v>328</v>
      </c>
      <c r="E36" s="76"/>
    </row>
    <row r="37" spans="1:5">
      <c r="A37" s="24" t="s">
        <v>329</v>
      </c>
      <c r="B37" s="24" t="s">
        <v>330</v>
      </c>
      <c r="C37" s="26" t="s">
        <v>304</v>
      </c>
      <c r="D37" s="24" t="s">
        <v>331</v>
      </c>
      <c r="E37" s="76"/>
    </row>
  </sheetData>
  <mergeCells count="5">
    <mergeCell ref="A2:E2"/>
    <mergeCell ref="A9:E9"/>
    <mergeCell ref="A15:E15"/>
    <mergeCell ref="A22:E22"/>
    <mergeCell ref="E28:E3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zoomScale="80" zoomScaleNormal="80" workbookViewId="0"/>
  </sheetViews>
  <sheetFormatPr defaultRowHeight="14.5"/>
  <cols>
    <col min="1" max="1" width="5.36328125" customWidth="1"/>
    <col min="2" max="3" width="51.81640625" bestFit="1" customWidth="1"/>
    <col min="4" max="4" width="16.7265625" bestFit="1" customWidth="1"/>
    <col min="5" max="5" width="17.36328125" bestFit="1" customWidth="1"/>
    <col min="6" max="6" width="52.81640625" bestFit="1" customWidth="1"/>
    <col min="7" max="7" width="10.08984375" bestFit="1" customWidth="1"/>
    <col min="8" max="8" width="16.1796875" bestFit="1" customWidth="1"/>
    <col min="9" max="9" width="127.54296875" bestFit="1" customWidth="1"/>
    <col min="10" max="10" width="35.26953125" bestFit="1" customWidth="1"/>
  </cols>
  <sheetData>
    <row r="1" spans="1:1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83</v>
      </c>
      <c r="J1" s="31" t="s">
        <v>241</v>
      </c>
      <c r="K1" s="31" t="s">
        <v>6</v>
      </c>
    </row>
    <row r="2" spans="1:11">
      <c r="A2" s="1">
        <v>1</v>
      </c>
      <c r="B2" s="2" t="s">
        <v>79</v>
      </c>
      <c r="C2" s="2" t="s">
        <v>79</v>
      </c>
      <c r="D2" s="8">
        <v>46158</v>
      </c>
      <c r="E2" s="8">
        <v>46174</v>
      </c>
      <c r="F2" s="3" t="s">
        <v>84</v>
      </c>
      <c r="G2" s="5" t="s">
        <v>78</v>
      </c>
      <c r="H2" s="2" t="s">
        <v>13</v>
      </c>
      <c r="I2" s="7" t="s">
        <v>235</v>
      </c>
      <c r="J2" s="2"/>
      <c r="K2" s="2"/>
    </row>
    <row r="3" spans="1:11">
      <c r="A3" s="1">
        <v>2</v>
      </c>
      <c r="B3" s="2" t="s">
        <v>51</v>
      </c>
      <c r="C3" s="2" t="s">
        <v>51</v>
      </c>
      <c r="D3" s="8">
        <v>46153</v>
      </c>
      <c r="E3" s="8">
        <v>46184</v>
      </c>
      <c r="F3" s="3" t="s">
        <v>85</v>
      </c>
      <c r="G3" s="4" t="s">
        <v>77</v>
      </c>
      <c r="H3" s="2" t="s">
        <v>13</v>
      </c>
      <c r="I3" s="3" t="s">
        <v>220</v>
      </c>
      <c r="J3" s="18" t="s">
        <v>242</v>
      </c>
      <c r="K3" s="3" t="s">
        <v>251</v>
      </c>
    </row>
    <row r="4" spans="1:11">
      <c r="A4" s="1">
        <v>3</v>
      </c>
      <c r="B4" s="2" t="s">
        <v>80</v>
      </c>
      <c r="C4" s="2" t="s">
        <v>80</v>
      </c>
      <c r="D4" s="8">
        <v>46156</v>
      </c>
      <c r="E4" s="8">
        <v>46186</v>
      </c>
      <c r="F4" s="2" t="s">
        <v>81</v>
      </c>
      <c r="G4" s="5" t="s">
        <v>78</v>
      </c>
      <c r="H4" s="2" t="s">
        <v>19</v>
      </c>
      <c r="I4" s="3" t="s">
        <v>88</v>
      </c>
      <c r="J4" s="2"/>
      <c r="K4" s="2"/>
    </row>
    <row r="5" spans="1:11">
      <c r="A5" s="1">
        <v>4</v>
      </c>
      <c r="B5" s="2" t="s">
        <v>76</v>
      </c>
      <c r="C5" s="2" t="s">
        <v>34</v>
      </c>
      <c r="D5" s="8">
        <v>46167</v>
      </c>
      <c r="E5" s="8">
        <v>46189</v>
      </c>
      <c r="F5" s="3" t="s">
        <v>86</v>
      </c>
      <c r="G5" s="5" t="s">
        <v>78</v>
      </c>
      <c r="H5" s="2" t="s">
        <v>36</v>
      </c>
      <c r="I5" s="3" t="s">
        <v>94</v>
      </c>
      <c r="J5" s="2"/>
      <c r="K5" s="2"/>
    </row>
    <row r="6" spans="1:11" ht="29">
      <c r="A6" s="1">
        <v>5</v>
      </c>
      <c r="B6" s="2" t="s">
        <v>53</v>
      </c>
      <c r="C6" s="2" t="s">
        <v>53</v>
      </c>
      <c r="D6" s="8">
        <v>46185</v>
      </c>
      <c r="E6" s="8">
        <v>46192</v>
      </c>
      <c r="F6" s="2" t="s">
        <v>56</v>
      </c>
      <c r="G6" s="4" t="s">
        <v>9</v>
      </c>
      <c r="H6" s="2" t="s">
        <v>13</v>
      </c>
      <c r="I6" s="3" t="s">
        <v>89</v>
      </c>
      <c r="J6" s="7" t="s">
        <v>245</v>
      </c>
      <c r="K6" s="2"/>
    </row>
    <row r="7" spans="1:11">
      <c r="A7" s="1">
        <v>6</v>
      </c>
      <c r="B7" s="2" t="s">
        <v>82</v>
      </c>
      <c r="C7" s="2" t="s">
        <v>82</v>
      </c>
      <c r="D7" s="8">
        <v>46178</v>
      </c>
      <c r="E7" s="8">
        <v>46193</v>
      </c>
      <c r="F7" s="2" t="s">
        <v>28</v>
      </c>
      <c r="G7" s="4" t="s">
        <v>9</v>
      </c>
      <c r="H7" s="2" t="s">
        <v>13</v>
      </c>
      <c r="I7" s="3" t="s">
        <v>221</v>
      </c>
      <c r="J7" s="18" t="s">
        <v>246</v>
      </c>
      <c r="K7" s="2"/>
    </row>
    <row r="8" spans="1:11">
      <c r="A8" s="1">
        <v>7</v>
      </c>
      <c r="B8" s="2" t="s">
        <v>49</v>
      </c>
      <c r="C8" s="2" t="s">
        <v>49</v>
      </c>
      <c r="D8" s="8">
        <v>46073</v>
      </c>
      <c r="E8" s="8">
        <v>46183</v>
      </c>
      <c r="F8" s="3" t="s">
        <v>90</v>
      </c>
      <c r="G8" s="4" t="s">
        <v>9</v>
      </c>
      <c r="H8" s="2" t="s">
        <v>19</v>
      </c>
      <c r="I8" s="3" t="s">
        <v>222</v>
      </c>
      <c r="J8" s="19" t="s">
        <v>247</v>
      </c>
      <c r="K8" s="3" t="s">
        <v>251</v>
      </c>
    </row>
    <row r="9" spans="1:11">
      <c r="A9" s="1">
        <v>8</v>
      </c>
      <c r="B9" s="2" t="s">
        <v>92</v>
      </c>
      <c r="C9" s="2" t="s">
        <v>91</v>
      </c>
      <c r="D9" s="8">
        <v>46185</v>
      </c>
      <c r="E9" s="8">
        <v>46186</v>
      </c>
      <c r="F9" s="3" t="s">
        <v>93</v>
      </c>
      <c r="G9" s="5" t="s">
        <v>78</v>
      </c>
      <c r="H9" s="2" t="s">
        <v>13</v>
      </c>
      <c r="I9" s="3" t="s">
        <v>223</v>
      </c>
      <c r="J9" s="2"/>
      <c r="K9" s="2"/>
    </row>
    <row r="10" spans="1:11">
      <c r="A10" s="1">
        <v>9</v>
      </c>
      <c r="B10" s="2" t="s">
        <v>10</v>
      </c>
      <c r="C10" s="2" t="s">
        <v>8</v>
      </c>
      <c r="D10" s="2" t="s">
        <v>11</v>
      </c>
      <c r="E10" s="2" t="s">
        <v>12</v>
      </c>
      <c r="F10" s="3" t="s">
        <v>106</v>
      </c>
      <c r="G10" s="5" t="s">
        <v>78</v>
      </c>
      <c r="H10" s="2" t="s">
        <v>13</v>
      </c>
      <c r="I10" s="2" t="s">
        <v>94</v>
      </c>
      <c r="J10" s="2"/>
      <c r="K10" s="2"/>
    </row>
    <row r="11" spans="1:11">
      <c r="A11" s="1">
        <v>10</v>
      </c>
      <c r="B11" s="2" t="s">
        <v>14</v>
      </c>
      <c r="C11" s="2" t="s">
        <v>14</v>
      </c>
      <c r="D11" s="2" t="s">
        <v>15</v>
      </c>
      <c r="E11" s="2" t="s">
        <v>12</v>
      </c>
      <c r="F11" s="3" t="s">
        <v>106</v>
      </c>
      <c r="G11" s="5" t="s">
        <v>78</v>
      </c>
      <c r="H11" s="2" t="s">
        <v>13</v>
      </c>
      <c r="I11" s="2" t="s">
        <v>94</v>
      </c>
      <c r="J11" s="2"/>
      <c r="K11" s="2"/>
    </row>
    <row r="12" spans="1:11">
      <c r="A12" s="1">
        <v>11</v>
      </c>
      <c r="B12" s="2" t="s">
        <v>16</v>
      </c>
      <c r="C12" s="2" t="s">
        <v>16</v>
      </c>
      <c r="D12" s="2" t="s">
        <v>17</v>
      </c>
      <c r="E12" s="2" t="s">
        <v>12</v>
      </c>
      <c r="F12" s="2" t="s">
        <v>95</v>
      </c>
      <c r="G12" s="4" t="s">
        <v>9</v>
      </c>
      <c r="H12" s="2" t="s">
        <v>19</v>
      </c>
      <c r="I12" s="3" t="s">
        <v>105</v>
      </c>
      <c r="J12" s="2"/>
      <c r="K12" s="2"/>
    </row>
    <row r="13" spans="1:11">
      <c r="A13" s="1">
        <v>12</v>
      </c>
      <c r="B13" s="2" t="s">
        <v>20</v>
      </c>
      <c r="C13" s="2" t="s">
        <v>20</v>
      </c>
      <c r="D13" s="2" t="s">
        <v>21</v>
      </c>
      <c r="E13" s="2" t="s">
        <v>12</v>
      </c>
      <c r="F13" s="2" t="s">
        <v>22</v>
      </c>
      <c r="G13" s="4" t="s">
        <v>9</v>
      </c>
      <c r="H13" s="2" t="s">
        <v>13</v>
      </c>
      <c r="I13" s="2" t="s">
        <v>96</v>
      </c>
      <c r="J13" s="18" t="s">
        <v>248</v>
      </c>
      <c r="K13" s="3" t="s">
        <v>251</v>
      </c>
    </row>
    <row r="14" spans="1:11">
      <c r="A14" s="1">
        <v>13</v>
      </c>
      <c r="B14" s="2" t="s">
        <v>23</v>
      </c>
      <c r="C14" s="2" t="s">
        <v>23</v>
      </c>
      <c r="D14" s="2" t="s">
        <v>24</v>
      </c>
      <c r="E14" s="2" t="s">
        <v>12</v>
      </c>
      <c r="F14" s="2" t="s">
        <v>22</v>
      </c>
      <c r="G14" s="4" t="s">
        <v>9</v>
      </c>
      <c r="H14" s="2" t="s">
        <v>13</v>
      </c>
      <c r="I14" s="2" t="s">
        <v>96</v>
      </c>
      <c r="J14" s="18" t="s">
        <v>249</v>
      </c>
      <c r="K14" s="3" t="s">
        <v>251</v>
      </c>
    </row>
    <row r="15" spans="1:11">
      <c r="A15" s="1">
        <v>14</v>
      </c>
      <c r="B15" s="2" t="s">
        <v>25</v>
      </c>
      <c r="C15" s="2" t="s">
        <v>26</v>
      </c>
      <c r="D15" s="2" t="s">
        <v>27</v>
      </c>
      <c r="E15" s="2" t="s">
        <v>12</v>
      </c>
      <c r="F15" s="2" t="s">
        <v>97</v>
      </c>
      <c r="G15" s="4" t="s">
        <v>9</v>
      </c>
      <c r="H15" s="2" t="s">
        <v>13</v>
      </c>
      <c r="I15" s="3" t="s">
        <v>224</v>
      </c>
      <c r="J15" s="18" t="s">
        <v>250</v>
      </c>
      <c r="K15" s="3" t="s">
        <v>251</v>
      </c>
    </row>
    <row r="16" spans="1:11">
      <c r="A16" s="1">
        <v>15</v>
      </c>
      <c r="B16" s="2" t="s">
        <v>37</v>
      </c>
      <c r="C16" s="2" t="s">
        <v>37</v>
      </c>
      <c r="D16" s="2" t="s">
        <v>38</v>
      </c>
      <c r="E16" s="2" t="s">
        <v>39</v>
      </c>
      <c r="F16" s="2" t="s">
        <v>98</v>
      </c>
      <c r="G16" s="5" t="s">
        <v>78</v>
      </c>
      <c r="H16" s="2" t="s">
        <v>19</v>
      </c>
      <c r="I16" s="2" t="s">
        <v>94</v>
      </c>
      <c r="J16" s="2"/>
      <c r="K16" s="2"/>
    </row>
    <row r="17" spans="1:11">
      <c r="A17" s="1">
        <v>16</v>
      </c>
      <c r="B17" s="2" t="s">
        <v>41</v>
      </c>
      <c r="C17" s="2" t="s">
        <v>41</v>
      </c>
      <c r="D17" s="2" t="s">
        <v>30</v>
      </c>
      <c r="E17" s="2" t="s">
        <v>40</v>
      </c>
      <c r="F17" s="3" t="s">
        <v>107</v>
      </c>
      <c r="G17" s="5" t="s">
        <v>78</v>
      </c>
      <c r="H17" s="2" t="s">
        <v>19</v>
      </c>
      <c r="I17" s="2" t="s">
        <v>94</v>
      </c>
      <c r="J17" s="2"/>
      <c r="K17" s="2"/>
    </row>
    <row r="18" spans="1:11">
      <c r="A18" s="1">
        <v>17</v>
      </c>
      <c r="B18" s="2" t="s">
        <v>43</v>
      </c>
      <c r="C18" s="2" t="s">
        <v>43</v>
      </c>
      <c r="D18" s="2" t="s">
        <v>21</v>
      </c>
      <c r="E18" s="2" t="s">
        <v>40</v>
      </c>
      <c r="F18" s="3" t="s">
        <v>107</v>
      </c>
      <c r="G18" s="5" t="s">
        <v>78</v>
      </c>
      <c r="H18" s="2" t="s">
        <v>13</v>
      </c>
      <c r="I18" s="2" t="s">
        <v>94</v>
      </c>
      <c r="J18" s="2"/>
      <c r="K18" s="2"/>
    </row>
    <row r="19" spans="1:11">
      <c r="A19" s="1">
        <v>18</v>
      </c>
      <c r="B19" s="2" t="s">
        <v>44</v>
      </c>
      <c r="C19" s="2" t="s">
        <v>44</v>
      </c>
      <c r="D19" s="2" t="s">
        <v>17</v>
      </c>
      <c r="E19" s="2" t="s">
        <v>45</v>
      </c>
      <c r="F19" s="3" t="s">
        <v>107</v>
      </c>
      <c r="G19" s="5" t="s">
        <v>78</v>
      </c>
      <c r="H19" s="2" t="s">
        <v>19</v>
      </c>
      <c r="I19" s="2" t="s">
        <v>94</v>
      </c>
      <c r="J19" s="2"/>
      <c r="K19" s="2"/>
    </row>
    <row r="20" spans="1:11">
      <c r="A20" s="1">
        <v>19</v>
      </c>
      <c r="B20" s="2" t="s">
        <v>46</v>
      </c>
      <c r="C20" s="2" t="s">
        <v>46</v>
      </c>
      <c r="D20" s="2" t="s">
        <v>47</v>
      </c>
      <c r="E20" s="2" t="s">
        <v>48</v>
      </c>
      <c r="F20" s="3" t="s">
        <v>107</v>
      </c>
      <c r="G20" s="5" t="s">
        <v>78</v>
      </c>
      <c r="H20" s="2" t="s">
        <v>19</v>
      </c>
      <c r="I20" s="2" t="s">
        <v>94</v>
      </c>
      <c r="J20" s="2"/>
      <c r="K20" s="2"/>
    </row>
    <row r="21" spans="1:11">
      <c r="A21" s="1">
        <v>20</v>
      </c>
      <c r="B21" s="2" t="s">
        <v>53</v>
      </c>
      <c r="C21" s="2" t="s">
        <v>53</v>
      </c>
      <c r="D21" s="2" t="s">
        <v>54</v>
      </c>
      <c r="E21" s="2" t="s">
        <v>55</v>
      </c>
      <c r="F21" s="2" t="s">
        <v>56</v>
      </c>
      <c r="G21" s="5" t="s">
        <v>78</v>
      </c>
      <c r="H21" s="2" t="s">
        <v>13</v>
      </c>
      <c r="I21" s="2" t="s">
        <v>94</v>
      </c>
      <c r="J21" s="2"/>
      <c r="K21" s="2"/>
    </row>
    <row r="22" spans="1:11">
      <c r="A22" s="1">
        <v>21</v>
      </c>
      <c r="B22" s="2" t="s">
        <v>57</v>
      </c>
      <c r="C22" s="2" t="s">
        <v>57</v>
      </c>
      <c r="D22" s="2" t="s">
        <v>58</v>
      </c>
      <c r="E22" s="2" t="s">
        <v>59</v>
      </c>
      <c r="F22" s="3" t="s">
        <v>106</v>
      </c>
      <c r="G22" s="5" t="s">
        <v>78</v>
      </c>
      <c r="H22" s="2" t="s">
        <v>19</v>
      </c>
      <c r="I22" s="2" t="s">
        <v>94</v>
      </c>
      <c r="J22" s="2"/>
      <c r="K22" s="2"/>
    </row>
    <row r="23" spans="1:11">
      <c r="A23" s="1">
        <v>22</v>
      </c>
      <c r="B23" s="2" t="s">
        <v>60</v>
      </c>
      <c r="C23" s="2" t="s">
        <v>34</v>
      </c>
      <c r="D23" s="2" t="s">
        <v>61</v>
      </c>
      <c r="E23" s="2" t="s">
        <v>59</v>
      </c>
      <c r="F23" s="3" t="s">
        <v>108</v>
      </c>
      <c r="G23" s="5" t="s">
        <v>78</v>
      </c>
      <c r="H23" s="2" t="s">
        <v>36</v>
      </c>
      <c r="I23" s="2" t="s">
        <v>94</v>
      </c>
      <c r="J23" s="2"/>
      <c r="K23" s="2"/>
    </row>
    <row r="24" spans="1:11">
      <c r="A24" s="1">
        <v>23</v>
      </c>
      <c r="B24" s="2" t="s">
        <v>34</v>
      </c>
      <c r="C24" s="2" t="s">
        <v>34</v>
      </c>
      <c r="D24" s="2" t="s">
        <v>62</v>
      </c>
      <c r="E24" s="2" t="s">
        <v>63</v>
      </c>
      <c r="F24" s="3" t="s">
        <v>108</v>
      </c>
      <c r="G24" s="5" t="s">
        <v>78</v>
      </c>
      <c r="H24" s="2" t="s">
        <v>36</v>
      </c>
      <c r="I24" s="2" t="s">
        <v>94</v>
      </c>
      <c r="J24" s="2"/>
      <c r="K24" s="2"/>
    </row>
    <row r="25" spans="1:11">
      <c r="A25" s="1">
        <v>24</v>
      </c>
      <c r="B25" s="2" t="s">
        <v>64</v>
      </c>
      <c r="C25" s="2" t="s">
        <v>34</v>
      </c>
      <c r="D25" s="2" t="s">
        <v>61</v>
      </c>
      <c r="E25" s="2" t="s">
        <v>65</v>
      </c>
      <c r="F25" s="3" t="s">
        <v>108</v>
      </c>
      <c r="G25" s="5" t="s">
        <v>78</v>
      </c>
      <c r="H25" s="2" t="s">
        <v>36</v>
      </c>
      <c r="I25" s="2" t="s">
        <v>94</v>
      </c>
      <c r="J25" s="2"/>
      <c r="K25" s="2"/>
    </row>
    <row r="26" spans="1:11">
      <c r="A26" s="1">
        <v>25</v>
      </c>
      <c r="B26" s="2" t="s">
        <v>99</v>
      </c>
      <c r="C26" s="2" t="s">
        <v>100</v>
      </c>
      <c r="D26" s="2" t="s">
        <v>101</v>
      </c>
      <c r="E26" s="2" t="s">
        <v>102</v>
      </c>
      <c r="F26" s="3" t="s">
        <v>109</v>
      </c>
      <c r="G26" s="17" t="s">
        <v>240</v>
      </c>
      <c r="H26" s="2" t="s">
        <v>13</v>
      </c>
      <c r="I26" s="2" t="s">
        <v>9</v>
      </c>
      <c r="J26" s="2"/>
      <c r="K26" s="2"/>
    </row>
    <row r="27" spans="1:11">
      <c r="A27" s="1">
        <v>26</v>
      </c>
      <c r="B27" s="2" t="s">
        <v>66</v>
      </c>
      <c r="C27" s="2" t="s">
        <v>66</v>
      </c>
      <c r="D27" s="2" t="s">
        <v>30</v>
      </c>
      <c r="E27" s="2" t="s">
        <v>67</v>
      </c>
      <c r="F27" s="3" t="s">
        <v>236</v>
      </c>
      <c r="G27" s="5" t="s">
        <v>78</v>
      </c>
      <c r="H27" s="2" t="s">
        <v>19</v>
      </c>
      <c r="I27" s="2" t="s">
        <v>94</v>
      </c>
      <c r="J27" s="2"/>
      <c r="K27" s="2"/>
    </row>
    <row r="28" spans="1:11">
      <c r="A28" s="1">
        <v>27</v>
      </c>
      <c r="B28" s="2" t="s">
        <v>73</v>
      </c>
      <c r="C28" s="2" t="s">
        <v>73</v>
      </c>
      <c r="D28" s="2" t="s">
        <v>74</v>
      </c>
      <c r="E28" s="10">
        <v>46203</v>
      </c>
      <c r="F28" s="3" t="s">
        <v>110</v>
      </c>
      <c r="G28" s="5" t="s">
        <v>78</v>
      </c>
      <c r="H28" s="2" t="s">
        <v>19</v>
      </c>
      <c r="I28" s="2" t="s">
        <v>94</v>
      </c>
      <c r="J28" s="2"/>
      <c r="K28" s="2"/>
    </row>
    <row r="29" spans="1:11">
      <c r="A29" s="1">
        <v>28</v>
      </c>
      <c r="B29" s="2" t="s">
        <v>75</v>
      </c>
      <c r="C29" s="2" t="s">
        <v>75</v>
      </c>
      <c r="D29" s="2" t="s">
        <v>30</v>
      </c>
      <c r="E29" s="10">
        <v>46203</v>
      </c>
      <c r="F29" s="3" t="s">
        <v>106</v>
      </c>
      <c r="G29" s="5" t="s">
        <v>78</v>
      </c>
      <c r="H29" s="2" t="s">
        <v>19</v>
      </c>
      <c r="I29" s="2" t="s">
        <v>94</v>
      </c>
      <c r="J29" s="2"/>
      <c r="K29" s="2"/>
    </row>
    <row r="30" spans="1:11">
      <c r="A30" s="1">
        <v>29</v>
      </c>
      <c r="B30" s="2" t="s">
        <v>68</v>
      </c>
      <c r="C30" s="2" t="s">
        <v>68</v>
      </c>
      <c r="D30" s="2" t="s">
        <v>69</v>
      </c>
      <c r="E30" s="10">
        <v>46203</v>
      </c>
      <c r="F30" s="2" t="s">
        <v>70</v>
      </c>
      <c r="G30" s="5" t="s">
        <v>78</v>
      </c>
      <c r="H30" s="2" t="s">
        <v>19</v>
      </c>
      <c r="I30" s="2" t="s">
        <v>94</v>
      </c>
      <c r="J30" s="2"/>
      <c r="K30" s="2"/>
    </row>
    <row r="31" spans="1:11">
      <c r="A31" s="1">
        <v>30</v>
      </c>
      <c r="B31" s="2" t="s">
        <v>113</v>
      </c>
      <c r="C31" s="2" t="s">
        <v>113</v>
      </c>
      <c r="D31" s="2" t="str">
        <f>VLOOKUP($B$31,Sheet1!$B$1:$I$74,4,0)</f>
        <v>11-February-2026</v>
      </c>
      <c r="E31" s="2" t="str">
        <f>VLOOKUP($B$31,Sheet1!$B$1:$I$74,5,0)</f>
        <v>13-February-2026</v>
      </c>
      <c r="F31" s="2" t="str">
        <f>VLOOKUP($B$31,Sheet1!$B$1:$I$74,6,0)</f>
        <v>AWNWAman Web Developer, Nikhil  Web Developer</v>
      </c>
      <c r="G31" s="5" t="s">
        <v>78</v>
      </c>
      <c r="H31" s="2" t="str">
        <f>VLOOKUP(B:B,Sheet1!$B$1:$I$74,8,0)</f>
        <v>Shopify</v>
      </c>
      <c r="I31" s="2" t="s">
        <v>94</v>
      </c>
      <c r="J31" s="2"/>
      <c r="K31" s="2"/>
    </row>
    <row r="32" spans="1:11">
      <c r="A32" s="1">
        <v>31</v>
      </c>
      <c r="B32" s="2" t="s">
        <v>118</v>
      </c>
      <c r="C32" s="2" t="s">
        <v>118</v>
      </c>
      <c r="D32" s="3" t="str">
        <f>VLOOKUP($B$32,Sheet1!$B$1:$I$74,4,0)</f>
        <v>27-October-2025</v>
      </c>
      <c r="E32" s="2" t="str">
        <f>VLOOKUP(B:B,Sheet1!$B$1:$I$74,5,0)</f>
        <v>09-April-2026</v>
      </c>
      <c r="F32" s="2" t="str">
        <f>VLOOKUP(B:B,Sheet1!$B$1:$I$74,6,0)</f>
        <v>ASAbhijeet Singh Software Tester</v>
      </c>
      <c r="G32" s="5" t="s">
        <v>78</v>
      </c>
      <c r="H32" s="2" t="str">
        <f>VLOOKUP(B:B,Sheet1!$B$1:$I$74,8,0)</f>
        <v>Wordpress</v>
      </c>
      <c r="I32" s="2" t="s">
        <v>94</v>
      </c>
      <c r="J32" s="2"/>
      <c r="K32" s="2"/>
    </row>
    <row r="33" spans="1:11">
      <c r="A33" s="1">
        <v>32</v>
      </c>
      <c r="B33" s="2" t="s">
        <v>119</v>
      </c>
      <c r="C33" s="2" t="s">
        <v>119</v>
      </c>
      <c r="D33" s="2" t="str">
        <f>VLOOKUP($B$33,Sheet1!$B$1:$I$74,4,0)</f>
        <v>24-February-2026</v>
      </c>
      <c r="E33" s="2" t="str">
        <f>VLOOKUP(B:B,Sheet1!$B$1:$I$74,5,0)</f>
        <v>09-April-2026</v>
      </c>
      <c r="F33" s="2" t="str">
        <f>VLOOKUP(B:B,Sheet1!$B$1:$I$74,6,0)</f>
        <v>ASDWAbhijeet Singh Software Tester, Deepak Web Developer</v>
      </c>
      <c r="G33" s="5" t="s">
        <v>78</v>
      </c>
      <c r="H33" s="2" t="str">
        <f>VLOOKUP(B:B,Sheet1!$B$1:$I$74,8,0)</f>
        <v>Wordpress</v>
      </c>
      <c r="I33" s="2" t="s">
        <v>94</v>
      </c>
      <c r="J33" s="2"/>
      <c r="K33" s="2"/>
    </row>
    <row r="34" spans="1:11">
      <c r="A34" s="1">
        <v>33</v>
      </c>
      <c r="B34" s="2" t="s">
        <v>120</v>
      </c>
      <c r="C34" s="2" t="s">
        <v>120</v>
      </c>
      <c r="D34" s="3" t="str">
        <f>VLOOKUP(B:B,Sheet1!$B$1:$I$74,4,0)</f>
        <v>03-October-2025</v>
      </c>
      <c r="E34" s="2" t="str">
        <f>VLOOKUP(B:B,Sheet1!$B$1:$I$74,5,0)</f>
        <v>13-April-2026</v>
      </c>
      <c r="F34" s="2" t="str">
        <f>VLOOKUP(B:B,Sheet1!$B$1:$I$74,6,0)</f>
        <v>ASAWAbhijeet Singh Software Tester, Aman Web Developer</v>
      </c>
      <c r="G34" s="5" t="s">
        <v>78</v>
      </c>
      <c r="H34" s="2" t="str">
        <f>VLOOKUP(B:B,Sheet1!$B$1:$I$74,8,0)</f>
        <v>Wordpress</v>
      </c>
      <c r="I34" s="2" t="s">
        <v>94</v>
      </c>
      <c r="J34" s="2"/>
      <c r="K34" s="2"/>
    </row>
    <row r="35" spans="1:11">
      <c r="A35" s="1">
        <v>34</v>
      </c>
      <c r="B35" s="2" t="s">
        <v>121</v>
      </c>
      <c r="C35" s="2" t="s">
        <v>121</v>
      </c>
      <c r="D35" s="2" t="str">
        <f>VLOOKUP(B:B,Sheet1!$B$1:$I$74,4,0)</f>
        <v>02-March-2026</v>
      </c>
      <c r="E35" s="2" t="str">
        <f>VLOOKUP(B:B,Sheet1!$B$1:$I$74,5,0)</f>
        <v>15-April-2026</v>
      </c>
      <c r="F35" s="2" t="str">
        <f>VLOOKUP(B:B,Sheet1!$B$1:$I$74,6,0)</f>
        <v>AWASAman Web Developer, Abhijeet Singh Software Tester</v>
      </c>
      <c r="G35" s="5" t="s">
        <v>78</v>
      </c>
      <c r="H35" s="2" t="str">
        <f>VLOOKUP(B:B,Sheet1!$B$1:$I$74,8,0)</f>
        <v>Wordpress</v>
      </c>
      <c r="I35" s="3" t="s">
        <v>94</v>
      </c>
      <c r="J35" s="2"/>
      <c r="K35" s="2"/>
    </row>
    <row r="36" spans="1:11">
      <c r="A36" s="1">
        <v>35</v>
      </c>
      <c r="B36" s="2" t="s">
        <v>122</v>
      </c>
      <c r="C36" s="2" t="s">
        <v>122</v>
      </c>
      <c r="D36" s="2" t="str">
        <f>VLOOKUP(B:B,Sheet1!$B$1:$I$74,4,0)</f>
        <v>07-October-2025</v>
      </c>
      <c r="E36" s="2" t="str">
        <f>VLOOKUP(B:B,Sheet1!$B$1:$I$74,5,0)</f>
        <v>15-April-2026</v>
      </c>
      <c r="F36" s="2" t="str">
        <f>VLOOKUP(B:B,Sheet1!$B$1:$I$74,6,0)</f>
        <v>+1</v>
      </c>
      <c r="G36" s="5" t="s">
        <v>78</v>
      </c>
      <c r="H36" s="2" t="str">
        <f>VLOOKUP(B:B,Sheet1!$B$1:$I$74,8,0)</f>
        <v>Wordpress</v>
      </c>
      <c r="I36" s="2" t="s">
        <v>94</v>
      </c>
      <c r="J36" s="2"/>
      <c r="K36" s="2"/>
    </row>
    <row r="37" spans="1:11">
      <c r="A37" s="1">
        <v>36</v>
      </c>
      <c r="B37" s="2" t="s">
        <v>123</v>
      </c>
      <c r="C37" s="2" t="s">
        <v>123</v>
      </c>
      <c r="D37" s="2" t="str">
        <f>VLOOKUP(B:B,Sheet1!$B$1:$I$74,4,0)</f>
        <v>16-October-2025</v>
      </c>
      <c r="E37" s="2" t="str">
        <f>VLOOKUP(B:B,Sheet1!$B$1:$I$74,5,0)</f>
        <v>15-April-2026</v>
      </c>
      <c r="F37" s="2" t="str">
        <f>VLOOKUP(B:B,Sheet1!$B$1:$I$74,6,0)</f>
        <v>ASAbhijeet Singh Software Tester</v>
      </c>
      <c r="G37" s="5" t="s">
        <v>78</v>
      </c>
      <c r="H37" s="2" t="str">
        <f>VLOOKUP(B:B,Sheet1!$B$1:$I$74,8,0)</f>
        <v>Wordpress</v>
      </c>
      <c r="I37" s="2" t="s">
        <v>94</v>
      </c>
      <c r="J37" s="2"/>
      <c r="K37" s="2"/>
    </row>
    <row r="38" spans="1:11">
      <c r="A38" s="1">
        <v>37</v>
      </c>
      <c r="B38" s="2" t="s">
        <v>126</v>
      </c>
      <c r="C38" s="2" t="s">
        <v>126</v>
      </c>
      <c r="D38" s="2" t="str">
        <f>VLOOKUP(B:B,Sheet1!$B$1:$I$74,4,0)</f>
        <v>29-November-2025</v>
      </c>
      <c r="E38" s="2" t="str">
        <f>VLOOKUP(B:B,Sheet1!$B$1:$I$74,5,0)</f>
        <v>15-April-2026</v>
      </c>
      <c r="F38" s="2" t="str">
        <f>VLOOKUP(B:B,Sheet1!$B$1:$I$74,6,0)</f>
        <v>DWNWDeepak Web Developer, Nikhil  Web Developer</v>
      </c>
      <c r="G38" s="5" t="s">
        <v>78</v>
      </c>
      <c r="H38" s="2" t="str">
        <f>VLOOKUP(B:B,Sheet1!$B$1:$I$74,8,0)</f>
        <v>Wordpress</v>
      </c>
      <c r="I38" s="2" t="s">
        <v>94</v>
      </c>
      <c r="J38" s="2"/>
      <c r="K38" s="2"/>
    </row>
    <row r="39" spans="1:11">
      <c r="A39" s="1">
        <v>38</v>
      </c>
      <c r="B39" s="2" t="s">
        <v>128</v>
      </c>
      <c r="C39" s="2" t="s">
        <v>128</v>
      </c>
      <c r="D39" s="2" t="str">
        <f>VLOOKUP(B:B,Sheet1!$B$1:$I$74,4,0)</f>
        <v>14-October-2025</v>
      </c>
      <c r="E39" s="2" t="str">
        <f>VLOOKUP(B:B,Sheet1!$B$1:$I$74,5,0)</f>
        <v>15-April-2026</v>
      </c>
      <c r="F39" s="2" t="str">
        <f>VLOOKUP(B:B,Sheet1!$B$1:$I$74,6,0)</f>
        <v>AWAman Web Developer</v>
      </c>
      <c r="G39" s="5" t="s">
        <v>78</v>
      </c>
      <c r="H39" s="2" t="str">
        <f>VLOOKUP(B:B,Sheet1!$B$1:$I$74,8,0)</f>
        <v>Wordpress</v>
      </c>
      <c r="I39" s="2" t="s">
        <v>94</v>
      </c>
      <c r="J39" s="2"/>
      <c r="K39" s="2"/>
    </row>
    <row r="40" spans="1:11">
      <c r="A40" s="1">
        <v>39</v>
      </c>
      <c r="B40" s="2" t="s">
        <v>129</v>
      </c>
      <c r="C40" s="2" t="s">
        <v>129</v>
      </c>
      <c r="D40" s="2" t="str">
        <f>VLOOKUP(B:B,Sheet1!$B$1:$I$74,4,0)</f>
        <v>22-October-2025</v>
      </c>
      <c r="E40" s="2" t="str">
        <f>VLOOKUP(B:B,Sheet1!$B$1:$I$74,5,0)</f>
        <v>15-April-2026</v>
      </c>
      <c r="F40" s="2" t="str">
        <f>VLOOKUP(B:B,Sheet1!$B$1:$I$74,6,0)</f>
        <v>ASAbhijeet Singh Software Tester</v>
      </c>
      <c r="G40" s="5" t="s">
        <v>78</v>
      </c>
      <c r="H40" s="2" t="str">
        <f>VLOOKUP(B:B,Sheet1!$B$1:$I$74,8,0)</f>
        <v>Wordpress</v>
      </c>
      <c r="I40" s="2" t="s">
        <v>94</v>
      </c>
      <c r="J40" s="2"/>
      <c r="K40" s="2"/>
    </row>
    <row r="41" spans="1:11">
      <c r="A41" s="1">
        <v>40</v>
      </c>
      <c r="B41" s="2" t="s">
        <v>130</v>
      </c>
      <c r="C41" s="2" t="s">
        <v>130</v>
      </c>
      <c r="D41" s="2" t="str">
        <f>VLOOKUP(B:B,Sheet1!$B$1:$I$74,4,0)</f>
        <v>25-October-2025</v>
      </c>
      <c r="E41" s="2" t="str">
        <f>VLOOKUP(B:B,Sheet1!$B$1:$I$74,5,0)</f>
        <v>15-April-2026</v>
      </c>
      <c r="F41" s="2" t="str">
        <f>VLOOKUP(B:B,Sheet1!$B$1:$I$74,6,0)</f>
        <v>ASAbhijeet Singh Software Tester</v>
      </c>
      <c r="G41" s="5" t="s">
        <v>78</v>
      </c>
      <c r="H41" s="2" t="str">
        <f>VLOOKUP(B:B,Sheet1!$B$1:$I$74,8,0)</f>
        <v>Wordpress</v>
      </c>
      <c r="I41" s="2" t="s">
        <v>94</v>
      </c>
      <c r="J41" s="2"/>
      <c r="K41" s="2"/>
    </row>
    <row r="42" spans="1:11">
      <c r="A42" s="1">
        <v>41</v>
      </c>
      <c r="B42" s="2" t="s">
        <v>131</v>
      </c>
      <c r="C42" s="2" t="s">
        <v>131</v>
      </c>
      <c r="D42" s="2" t="str">
        <f>VLOOKUP(B:B,Sheet1!$B$1:$I$74,4,0)</f>
        <v>16-February-2026</v>
      </c>
      <c r="E42" s="2" t="str">
        <f>VLOOKUP(B:B,Sheet1!$B$1:$I$74,5,0)</f>
        <v>15-April-2026</v>
      </c>
      <c r="F42" s="2">
        <f>VLOOKUP(B:B,Sheet1!$B$1:$I$74,6,0)</f>
        <v>0</v>
      </c>
      <c r="G42" s="5" t="s">
        <v>78</v>
      </c>
      <c r="H42" s="2" t="str">
        <f>VLOOKUP(B:B,Sheet1!$B$1:$I$74,8,0)</f>
        <v>Wordpress</v>
      </c>
      <c r="I42" s="2" t="s">
        <v>94</v>
      </c>
      <c r="J42" s="2"/>
      <c r="K42" s="2"/>
    </row>
    <row r="43" spans="1:11">
      <c r="A43" s="1">
        <v>42</v>
      </c>
      <c r="B43" s="2" t="s">
        <v>132</v>
      </c>
      <c r="C43" s="2" t="s">
        <v>132</v>
      </c>
      <c r="D43" s="2" t="str">
        <f>VLOOKUP(B:B,Sheet1!$B$1:$I$74,4,0)</f>
        <v>17-December-2025</v>
      </c>
      <c r="E43" s="2" t="str">
        <f>VLOOKUP(B:B,Sheet1!$B$1:$I$74,5,0)</f>
        <v>15-April-2026</v>
      </c>
      <c r="F43" s="2" t="str">
        <f>VLOOKUP(B:B,Sheet1!$B$1:$I$74,6,0)</f>
        <v>ASAbhijeet Singh Software Tester</v>
      </c>
      <c r="G43" s="5" t="s">
        <v>78</v>
      </c>
      <c r="H43" s="2" t="str">
        <f>VLOOKUP(B:B,Sheet1!$B$1:$I$74,8,0)</f>
        <v>Wordpress</v>
      </c>
      <c r="I43" s="2" t="s">
        <v>94</v>
      </c>
      <c r="J43" s="2"/>
      <c r="K43" s="2"/>
    </row>
    <row r="44" spans="1:11">
      <c r="A44" s="1">
        <v>43</v>
      </c>
      <c r="B44" s="2" t="s">
        <v>133</v>
      </c>
      <c r="C44" s="2" t="s">
        <v>133</v>
      </c>
      <c r="D44" s="2" t="str">
        <f>VLOOKUP(B:B,Sheet1!$B$1:$I$74,4,0)</f>
        <v>08-December-2025</v>
      </c>
      <c r="E44" s="2" t="str">
        <f>VLOOKUP(B:B,Sheet1!$B$1:$I$74,5,0)</f>
        <v>15-April-2026</v>
      </c>
      <c r="F44" s="2" t="str">
        <f>VLOOKUP(B:B,Sheet1!$B$1:$I$74,6,0)</f>
        <v>DWDeepak Web Developer</v>
      </c>
      <c r="G44" s="5" t="s">
        <v>78</v>
      </c>
      <c r="H44" s="2" t="str">
        <f>VLOOKUP(B:B,Sheet1!$B$1:$I$74,8,0)</f>
        <v>Wordpress</v>
      </c>
      <c r="I44" s="2" t="s">
        <v>94</v>
      </c>
      <c r="J44" s="2"/>
      <c r="K44" s="2"/>
    </row>
    <row r="45" spans="1:11">
      <c r="A45" s="1">
        <v>44</v>
      </c>
      <c r="B45" s="2" t="s">
        <v>141</v>
      </c>
      <c r="C45" s="2" t="s">
        <v>141</v>
      </c>
      <c r="D45" s="2" t="str">
        <f>VLOOKUP(B:B,Sheet1!$B$1:$I$74,4,0)</f>
        <v>23-February-2026</v>
      </c>
      <c r="E45" s="2" t="str">
        <f>VLOOKUP(B:B,Sheet1!$B$1:$I$74,5,0)</f>
        <v>20-April-2026</v>
      </c>
      <c r="F45" s="2" t="str">
        <f>VLOOKUP(B:B,Sheet1!$B$1:$I$74,6,0)</f>
        <v>DWNWDeepak Web Developer, Nikhil  Web Developer</v>
      </c>
      <c r="G45" s="6" t="s">
        <v>87</v>
      </c>
      <c r="H45" s="2" t="str">
        <f>VLOOKUP(B:B,Sheet1!$B$1:$I$74,8,0)</f>
        <v>Wordpress</v>
      </c>
      <c r="I45" s="3" t="s">
        <v>215</v>
      </c>
      <c r="J45" s="18" t="s">
        <v>243</v>
      </c>
      <c r="K45" s="3" t="s">
        <v>251</v>
      </c>
    </row>
    <row r="46" spans="1:11">
      <c r="A46" s="1">
        <v>45</v>
      </c>
      <c r="B46" s="2" t="s">
        <v>142</v>
      </c>
      <c r="C46" s="2" t="s">
        <v>142</v>
      </c>
      <c r="D46" s="2" t="str">
        <f>VLOOKUP(B:B,Sheet1!$B$1:$I$74,4,0)</f>
        <v>16-March-2026</v>
      </c>
      <c r="E46" s="2" t="str">
        <f>VLOOKUP(B:B,Sheet1!$B$1:$I$74,5,0)</f>
        <v>24-April-2026</v>
      </c>
      <c r="F46" s="2" t="str">
        <f>VLOOKUP(B:B,Sheet1!$B$1:$I$74,6,0)</f>
        <v>DWAWDeepak Web Developer, Aman Web Developer</v>
      </c>
      <c r="G46" s="5" t="s">
        <v>78</v>
      </c>
      <c r="H46" s="2" t="str">
        <f>VLOOKUP(B:B,Sheet1!$B$1:$I$74,8,0)</f>
        <v>Wordpress</v>
      </c>
      <c r="I46" s="2" t="s">
        <v>94</v>
      </c>
      <c r="J46" s="2"/>
      <c r="K46" s="2"/>
    </row>
    <row r="47" spans="1:11">
      <c r="A47" s="1">
        <v>46</v>
      </c>
      <c r="B47" s="2" t="s">
        <v>143</v>
      </c>
      <c r="C47" s="2" t="s">
        <v>143</v>
      </c>
      <c r="D47" s="2" t="str">
        <f>VLOOKUP(B:B,Sheet1!$B$1:$I$74,4,0)</f>
        <v>13-April-2026</v>
      </c>
      <c r="E47" s="2" t="str">
        <f>VLOOKUP(B:B,Sheet1!$B$1:$I$74,5,0)</f>
        <v>24-April-2026</v>
      </c>
      <c r="F47" s="2" t="str">
        <f>VLOOKUP(B:B,Sheet1!$B$1:$I$74,6,0)</f>
        <v>DWVFDeepak Web Developer, Vani Frontend developer</v>
      </c>
      <c r="G47" s="5" t="s">
        <v>78</v>
      </c>
      <c r="H47" s="2" t="str">
        <f>VLOOKUP(B:B,Sheet1!$B$1:$I$74,8,0)</f>
        <v>Custom</v>
      </c>
      <c r="I47" s="2" t="s">
        <v>94</v>
      </c>
      <c r="J47" s="2"/>
      <c r="K47" s="2"/>
    </row>
    <row r="48" spans="1:11">
      <c r="A48" s="1">
        <v>47</v>
      </c>
      <c r="B48" s="2" t="s">
        <v>144</v>
      </c>
      <c r="C48" s="2" t="s">
        <v>144</v>
      </c>
      <c r="D48" s="2" t="str">
        <f>VLOOKUP(B:B,Sheet1!$B$1:$I$74,4,0)</f>
        <v>13-March-2026</v>
      </c>
      <c r="E48" s="2" t="str">
        <f>VLOOKUP(B:B,Sheet1!$B$1:$I$74,5,0)</f>
        <v>16-May-2026</v>
      </c>
      <c r="F48" s="2" t="str">
        <f>VLOOKUP(B:B,Sheet1!$B$1:$I$74,6,0)</f>
        <v>+1</v>
      </c>
      <c r="G48" s="5" t="s">
        <v>78</v>
      </c>
      <c r="H48" s="2" t="str">
        <f>VLOOKUP(B:B,Sheet1!$B$1:$I$74,8,0)</f>
        <v>Wordpress</v>
      </c>
      <c r="I48" s="2" t="s">
        <v>94</v>
      </c>
      <c r="J48" s="2"/>
      <c r="K48" s="2"/>
    </row>
    <row r="49" spans="1:11">
      <c r="A49" s="1">
        <v>48</v>
      </c>
      <c r="B49" s="2" t="s">
        <v>33</v>
      </c>
      <c r="C49" s="2" t="s">
        <v>33</v>
      </c>
      <c r="D49" s="2" t="str">
        <f>VLOOKUP(B:B,Sheet1!$B$1:$I$74,4,0)</f>
        <v>30-April-2026</v>
      </c>
      <c r="E49" s="2" t="str">
        <f>VLOOKUP(B:B,Sheet1!$B$1:$I$74,5,0)</f>
        <v>16-May-2026</v>
      </c>
      <c r="F49" s="2" t="str">
        <f>VLOOKUP(B:B,Sheet1!$B$1:$I$74,6,0)</f>
        <v>+4</v>
      </c>
      <c r="G49" s="5" t="s">
        <v>78</v>
      </c>
      <c r="H49" s="2" t="str">
        <f>VLOOKUP(B:B,Sheet1!$B$1:$I$74,8,0)</f>
        <v>Custom</v>
      </c>
      <c r="I49" s="2" t="s">
        <v>94</v>
      </c>
      <c r="J49" s="2"/>
      <c r="K49" s="2"/>
    </row>
    <row r="50" spans="1:11">
      <c r="A50" s="1">
        <v>49</v>
      </c>
      <c r="B50" s="2" t="s">
        <v>145</v>
      </c>
      <c r="C50" s="2" t="s">
        <v>145</v>
      </c>
      <c r="D50" s="2" t="str">
        <f>VLOOKUP(B:B,Sheet1!$B$1:$I$74,4,0)</f>
        <v>29-January-2026</v>
      </c>
      <c r="E50" s="2" t="str">
        <f>VLOOKUP(B:B,Sheet1!$B$1:$I$74,5,0)</f>
        <v>26-May-2026</v>
      </c>
      <c r="F50" s="2" t="str">
        <f>VLOOKUP(B:B,Sheet1!$B$1:$I$74,6,0)</f>
        <v>ASNWAbhijeet Singh Software Tester, Nikhil  Web Developer</v>
      </c>
      <c r="G50" s="5" t="s">
        <v>78</v>
      </c>
      <c r="H50" s="2" t="str">
        <f>VLOOKUP(B:B,Sheet1!$B$1:$I$74,8,0)</f>
        <v>Wordpress</v>
      </c>
      <c r="I50" s="2" t="s">
        <v>94</v>
      </c>
      <c r="J50" s="2"/>
      <c r="K50" s="2"/>
    </row>
    <row r="51" spans="1:11">
      <c r="A51" s="1">
        <v>50</v>
      </c>
      <c r="B51" s="2" t="s">
        <v>140</v>
      </c>
      <c r="C51" s="2" t="s">
        <v>140</v>
      </c>
      <c r="D51" s="2" t="str">
        <f>VLOOKUP(B:B,Sheet1!$B$1:$I$74,4,0)</f>
        <v>18-March-2026</v>
      </c>
      <c r="E51" s="2" t="str">
        <f>VLOOKUP(B:B,Sheet1!$B$1:$I$74,5,0)</f>
        <v>20-April-2026</v>
      </c>
      <c r="F51" s="3" t="s">
        <v>93</v>
      </c>
      <c r="G51" s="5" t="s">
        <v>78</v>
      </c>
      <c r="H51" s="2" t="str">
        <f>VLOOKUP(B:B,Sheet1!$B$1:$I$74,8,0)</f>
        <v>Wordpress</v>
      </c>
      <c r="I51" s="2" t="s">
        <v>94</v>
      </c>
      <c r="J51" s="2"/>
      <c r="K51" s="2"/>
    </row>
    <row r="52" spans="1:11">
      <c r="A52" s="1">
        <v>51</v>
      </c>
      <c r="B52" s="2" t="s">
        <v>149</v>
      </c>
      <c r="C52" s="2" t="s">
        <v>149</v>
      </c>
      <c r="D52" s="2" t="str">
        <f>VLOOKUP(B:B,Sheet1!$B$1:$I$74,4,0)</f>
        <v>28-January-2026</v>
      </c>
      <c r="E52" s="2">
        <f>VLOOKUP(B:B,Sheet1!$B$1:$I$74,5,0)</f>
        <v>0</v>
      </c>
      <c r="F52" s="2" t="str">
        <f>VLOOKUP(B:B,Sheet1!$B$1:$I$74,6,0)</f>
        <v>AWNWAman Web Developer, Nikhil  Web Developer</v>
      </c>
      <c r="G52" s="5" t="s">
        <v>78</v>
      </c>
      <c r="H52" s="2" t="str">
        <f>VLOOKUP(B:B,Sheet1!$B$1:$I$74,8,0)</f>
        <v>Shopify</v>
      </c>
      <c r="I52" s="2" t="s">
        <v>94</v>
      </c>
      <c r="J52" s="2"/>
      <c r="K52" s="2"/>
    </row>
    <row r="53" spans="1:11">
      <c r="A53" s="1">
        <v>52</v>
      </c>
      <c r="B53" s="2" t="s">
        <v>150</v>
      </c>
      <c r="C53" s="2" t="s">
        <v>150</v>
      </c>
      <c r="D53" s="2" t="str">
        <f>VLOOKUP(B:B,Sheet1!$B$1:$I$74,4,0)</f>
        <v>11-December-2025</v>
      </c>
      <c r="E53" s="2">
        <f>VLOOKUP(B:B,Sheet1!$B$1:$I$74,5,0)</f>
        <v>0</v>
      </c>
      <c r="F53" s="2" t="str">
        <f>VLOOKUP(B:B,Sheet1!$B$1:$I$74,6,0)</f>
        <v>AWAman Web Developer</v>
      </c>
      <c r="G53" s="5" t="s">
        <v>78</v>
      </c>
      <c r="H53" s="2" t="str">
        <f>VLOOKUP(B:B,Sheet1!$B$1:$I$74,8,0)</f>
        <v>Wordpress</v>
      </c>
      <c r="I53" s="2" t="s">
        <v>94</v>
      </c>
      <c r="J53" s="2"/>
      <c r="K53" s="2"/>
    </row>
    <row r="54" spans="1:11">
      <c r="A54" s="1">
        <v>53</v>
      </c>
      <c r="B54" s="2" t="s">
        <v>151</v>
      </c>
      <c r="C54" s="2" t="s">
        <v>151</v>
      </c>
      <c r="D54" s="2" t="str">
        <f>VLOOKUP(B:B,Sheet1!$B$1:$I$74,4,0)</f>
        <v>09-October-2025</v>
      </c>
      <c r="E54" s="2">
        <f>VLOOKUP(B:B,Sheet1!$B$1:$I$74,5,0)</f>
        <v>0</v>
      </c>
      <c r="F54" s="2">
        <f>VLOOKUP(B:B,Sheet1!$B$1:$I$74,6,0)</f>
        <v>0</v>
      </c>
      <c r="G54" s="6" t="s">
        <v>87</v>
      </c>
      <c r="H54" s="2" t="str">
        <f>VLOOKUP(B:B,Sheet1!$B$1:$I$74,8,0)</f>
        <v>Wordpress</v>
      </c>
      <c r="I54" s="3" t="s">
        <v>239</v>
      </c>
      <c r="J54" s="18" t="s">
        <v>244</v>
      </c>
      <c r="K54" s="3" t="s">
        <v>251</v>
      </c>
    </row>
    <row r="55" spans="1:11">
      <c r="A55" s="1">
        <v>54</v>
      </c>
      <c r="B55" s="2" t="s">
        <v>152</v>
      </c>
      <c r="C55" s="2" t="s">
        <v>152</v>
      </c>
      <c r="D55" s="2" t="str">
        <f>VLOOKUP(B:B,Sheet1!$B$1:$I$74,4,0)</f>
        <v>14-October-2025</v>
      </c>
      <c r="E55" s="2">
        <f>VLOOKUP(B:B,Sheet1!$B$1:$I$74,5,0)</f>
        <v>0</v>
      </c>
      <c r="F55" s="2" t="str">
        <f>VLOOKUP(B:B,Sheet1!$B$1:$I$74,6,0)</f>
        <v>NWNikhil  Web Developer</v>
      </c>
      <c r="G55" s="5" t="s">
        <v>78</v>
      </c>
      <c r="H55" s="2" t="str">
        <f>VLOOKUP(B:B,Sheet1!$B$1:$I$74,8,0)</f>
        <v>Wordpress</v>
      </c>
      <c r="I55" s="2" t="s">
        <v>94</v>
      </c>
      <c r="J55" s="2"/>
      <c r="K55" s="2"/>
    </row>
    <row r="56" spans="1:11">
      <c r="A56" s="1">
        <v>55</v>
      </c>
      <c r="B56" s="2" t="s">
        <v>153</v>
      </c>
      <c r="C56" s="2" t="s">
        <v>153</v>
      </c>
      <c r="D56" s="2" t="str">
        <f>VLOOKUP(B:B,Sheet1!$B$1:$I$74,4,0)</f>
        <v>06-October-2025</v>
      </c>
      <c r="E56" s="2">
        <f>VLOOKUP(B:B,Sheet1!$B$1:$I$74,5,0)</f>
        <v>0</v>
      </c>
      <c r="F56" s="2" t="str">
        <f>VLOOKUP(B:B,Sheet1!$B$1:$I$74,6,0)</f>
        <v>+2</v>
      </c>
      <c r="G56" s="5" t="s">
        <v>78</v>
      </c>
      <c r="H56" s="2" t="str">
        <f>VLOOKUP(B:B,Sheet1!$B$1:$I$74,8,0)</f>
        <v>Wordpress</v>
      </c>
      <c r="I56" s="2" t="s">
        <v>94</v>
      </c>
      <c r="J56" s="2"/>
      <c r="K56" s="2"/>
    </row>
    <row r="57" spans="1:11">
      <c r="A57" s="1">
        <v>56</v>
      </c>
      <c r="B57" s="2" t="s">
        <v>154</v>
      </c>
      <c r="C57" s="2" t="s">
        <v>154</v>
      </c>
      <c r="D57" s="2" t="str">
        <f>VLOOKUP(B:B,Sheet1!$B$1:$I$74,4,0)</f>
        <v>10-October-2025</v>
      </c>
      <c r="E57" s="2">
        <f>VLOOKUP(B:B,Sheet1!$B$1:$I$74,5,0)</f>
        <v>0</v>
      </c>
      <c r="F57" s="2" t="str">
        <f>VLOOKUP(B:B,Sheet1!$B$1:$I$74,6,0)</f>
        <v>+1</v>
      </c>
      <c r="G57" s="5" t="s">
        <v>78</v>
      </c>
      <c r="H57" s="2" t="str">
        <f>VLOOKUP(B:B,Sheet1!$B$1:$I$74,8,0)</f>
        <v>Wordpress</v>
      </c>
      <c r="I57" s="2" t="s">
        <v>94</v>
      </c>
      <c r="J57" s="2"/>
      <c r="K57" s="2"/>
    </row>
    <row r="58" spans="1:11">
      <c r="A58" s="1">
        <v>57</v>
      </c>
      <c r="B58" s="2" t="s">
        <v>225</v>
      </c>
      <c r="C58" s="2" t="s">
        <v>225</v>
      </c>
      <c r="D58" s="10">
        <v>45724</v>
      </c>
      <c r="E58" s="10">
        <v>45782</v>
      </c>
      <c r="F58" s="3" t="s">
        <v>93</v>
      </c>
      <c r="G58" s="6" t="s">
        <v>87</v>
      </c>
      <c r="H58" s="3" t="s">
        <v>13</v>
      </c>
      <c r="I58" s="3" t="s">
        <v>239</v>
      </c>
      <c r="J58" s="18" t="s">
        <v>252</v>
      </c>
      <c r="K58" s="3" t="s">
        <v>251</v>
      </c>
    </row>
    <row r="59" spans="1:11">
      <c r="A59" s="1">
        <v>58</v>
      </c>
      <c r="B59" s="2" t="s">
        <v>226</v>
      </c>
      <c r="C59" s="2" t="s">
        <v>226</v>
      </c>
      <c r="D59" s="10">
        <v>45723</v>
      </c>
      <c r="E59" s="10">
        <v>45745</v>
      </c>
      <c r="F59" s="3" t="s">
        <v>93</v>
      </c>
      <c r="G59" s="6" t="s">
        <v>87</v>
      </c>
      <c r="H59" s="3" t="s">
        <v>13</v>
      </c>
      <c r="I59" s="3" t="s">
        <v>239</v>
      </c>
      <c r="J59" s="18" t="s">
        <v>253</v>
      </c>
      <c r="K59" s="3" t="s">
        <v>251</v>
      </c>
    </row>
    <row r="60" spans="1:11">
      <c r="A60" s="1">
        <v>59</v>
      </c>
      <c r="B60" s="2" t="s">
        <v>227</v>
      </c>
      <c r="C60" s="2" t="s">
        <v>227</v>
      </c>
      <c r="D60" s="10">
        <v>45847</v>
      </c>
      <c r="E60" s="10">
        <v>45869</v>
      </c>
      <c r="F60" s="3" t="s">
        <v>93</v>
      </c>
      <c r="G60" s="6" t="s">
        <v>87</v>
      </c>
      <c r="H60" s="3" t="s">
        <v>13</v>
      </c>
      <c r="I60" s="3" t="s">
        <v>239</v>
      </c>
      <c r="J60" s="18" t="s">
        <v>254</v>
      </c>
      <c r="K60" s="3" t="s">
        <v>251</v>
      </c>
    </row>
    <row r="61" spans="1:11">
      <c r="A61" s="1">
        <v>60</v>
      </c>
      <c r="B61" s="2" t="s">
        <v>228</v>
      </c>
      <c r="C61" s="2" t="s">
        <v>228</v>
      </c>
      <c r="D61" s="10">
        <v>45824</v>
      </c>
      <c r="E61" s="10">
        <v>45833</v>
      </c>
      <c r="F61" s="3" t="s">
        <v>93</v>
      </c>
      <c r="G61" s="6" t="s">
        <v>87</v>
      </c>
      <c r="H61" s="3" t="s">
        <v>13</v>
      </c>
      <c r="I61" s="3" t="s">
        <v>239</v>
      </c>
      <c r="J61" s="18" t="s">
        <v>255</v>
      </c>
      <c r="K61" s="3" t="s">
        <v>251</v>
      </c>
    </row>
    <row r="62" spans="1:11">
      <c r="A62" s="1">
        <v>61</v>
      </c>
      <c r="B62" s="2" t="s">
        <v>124</v>
      </c>
      <c r="C62" s="2" t="s">
        <v>124</v>
      </c>
      <c r="D62" s="10">
        <v>45930</v>
      </c>
      <c r="E62" s="10">
        <v>45954</v>
      </c>
      <c r="F62" s="3" t="s">
        <v>93</v>
      </c>
      <c r="G62" s="6" t="s">
        <v>87</v>
      </c>
      <c r="H62" s="3" t="s">
        <v>13</v>
      </c>
      <c r="I62" s="3" t="s">
        <v>239</v>
      </c>
      <c r="J62" s="18" t="s">
        <v>256</v>
      </c>
      <c r="K62" s="3" t="s">
        <v>251</v>
      </c>
    </row>
    <row r="63" spans="1:11">
      <c r="A63" s="1">
        <v>62</v>
      </c>
      <c r="B63" s="2" t="s">
        <v>229</v>
      </c>
      <c r="C63" s="2" t="s">
        <v>229</v>
      </c>
      <c r="D63" s="10">
        <v>45936</v>
      </c>
      <c r="E63" s="10">
        <v>45955</v>
      </c>
      <c r="F63" s="3" t="s">
        <v>93</v>
      </c>
      <c r="G63" s="6" t="s">
        <v>87</v>
      </c>
      <c r="H63" s="3" t="s">
        <v>13</v>
      </c>
      <c r="I63" s="3" t="s">
        <v>239</v>
      </c>
      <c r="J63" s="18" t="s">
        <v>257</v>
      </c>
      <c r="K63" s="3" t="s">
        <v>251</v>
      </c>
    </row>
    <row r="64" spans="1:11">
      <c r="A64" s="1">
        <v>63</v>
      </c>
      <c r="B64" s="2" t="s">
        <v>230</v>
      </c>
      <c r="C64" s="2" t="s">
        <v>230</v>
      </c>
      <c r="D64" s="10">
        <v>45945</v>
      </c>
      <c r="E64" s="10">
        <v>45974</v>
      </c>
      <c r="F64" s="3" t="s">
        <v>93</v>
      </c>
      <c r="G64" s="6" t="s">
        <v>87</v>
      </c>
      <c r="H64" s="3" t="s">
        <v>13</v>
      </c>
      <c r="I64" s="3" t="s">
        <v>239</v>
      </c>
      <c r="J64" s="18" t="s">
        <v>258</v>
      </c>
      <c r="K64" s="3" t="s">
        <v>251</v>
      </c>
    </row>
    <row r="65" spans="1:11">
      <c r="A65" s="1">
        <v>64</v>
      </c>
      <c r="B65" s="2" t="s">
        <v>231</v>
      </c>
      <c r="C65" s="2" t="s">
        <v>231</v>
      </c>
      <c r="D65" s="10">
        <v>45987</v>
      </c>
      <c r="E65" s="10">
        <v>45996</v>
      </c>
      <c r="F65" s="3" t="s">
        <v>93</v>
      </c>
      <c r="G65" s="6" t="s">
        <v>87</v>
      </c>
      <c r="H65" s="3" t="s">
        <v>13</v>
      </c>
      <c r="I65" s="3" t="s">
        <v>239</v>
      </c>
      <c r="J65" s="18" t="s">
        <v>259</v>
      </c>
      <c r="K65" s="3" t="s">
        <v>251</v>
      </c>
    </row>
    <row r="66" spans="1:11">
      <c r="A66" s="1">
        <v>65</v>
      </c>
      <c r="B66" s="2" t="s">
        <v>232</v>
      </c>
      <c r="C66" s="2" t="s">
        <v>232</v>
      </c>
      <c r="D66" s="10">
        <v>45994</v>
      </c>
      <c r="E66" s="10">
        <v>46006</v>
      </c>
      <c r="F66" s="3" t="s">
        <v>93</v>
      </c>
      <c r="G66" s="6" t="s">
        <v>87</v>
      </c>
      <c r="H66" s="3" t="s">
        <v>13</v>
      </c>
      <c r="I66" s="3" t="s">
        <v>237</v>
      </c>
      <c r="J66" s="18" t="s">
        <v>260</v>
      </c>
      <c r="K66" s="3" t="s">
        <v>251</v>
      </c>
    </row>
    <row r="67" spans="1:11">
      <c r="A67" s="1">
        <v>66</v>
      </c>
      <c r="B67" s="2" t="s">
        <v>233</v>
      </c>
      <c r="C67" s="2" t="s">
        <v>233</v>
      </c>
      <c r="D67" s="10">
        <v>45899</v>
      </c>
      <c r="E67" s="10">
        <v>45903</v>
      </c>
      <c r="F67" s="3" t="s">
        <v>93</v>
      </c>
      <c r="G67" s="6" t="s">
        <v>87</v>
      </c>
      <c r="H67" s="3" t="s">
        <v>13</v>
      </c>
      <c r="I67" s="3" t="s">
        <v>238</v>
      </c>
      <c r="J67" s="18" t="s">
        <v>261</v>
      </c>
      <c r="K67" s="3" t="s">
        <v>251</v>
      </c>
    </row>
    <row r="68" spans="1:11">
      <c r="A68" s="1">
        <v>67</v>
      </c>
      <c r="B68" s="2" t="s">
        <v>234</v>
      </c>
      <c r="C68" s="2" t="s">
        <v>234</v>
      </c>
      <c r="D68" s="10">
        <v>46045</v>
      </c>
      <c r="E68" s="10">
        <v>46071</v>
      </c>
      <c r="F68" s="3" t="s">
        <v>93</v>
      </c>
      <c r="G68" s="6" t="s">
        <v>87</v>
      </c>
      <c r="H68" s="3" t="s">
        <v>13</v>
      </c>
      <c r="I68" s="3" t="s">
        <v>237</v>
      </c>
      <c r="J68" s="3" t="s">
        <v>262</v>
      </c>
      <c r="K68" s="3" t="s">
        <v>251</v>
      </c>
    </row>
  </sheetData>
  <hyperlinks>
    <hyperlink ref="J3" r:id="rId1"/>
    <hyperlink ref="J45" r:id="rId2"/>
    <hyperlink ref="J54" r:id="rId3"/>
    <hyperlink ref="J7" r:id="rId4"/>
    <hyperlink ref="J8" r:id="rId5"/>
    <hyperlink ref="J13" r:id="rId6"/>
    <hyperlink ref="J14" r:id="rId7"/>
    <hyperlink ref="J15" r:id="rId8"/>
    <hyperlink ref="J58" r:id="rId9"/>
    <hyperlink ref="J59" r:id="rId10"/>
    <hyperlink ref="J60" r:id="rId11"/>
    <hyperlink ref="J61" r:id="rId12"/>
    <hyperlink ref="J62" r:id="rId13"/>
    <hyperlink ref="J63" r:id="rId14"/>
    <hyperlink ref="J64" r:id="rId15"/>
    <hyperlink ref="J65" r:id="rId16"/>
    <hyperlink ref="J66" r:id="rId17"/>
    <hyperlink ref="J67" r:id="rId18"/>
  </hyperlinks>
  <pageMargins left="0.7" right="0.7" top="0.75" bottom="0.75" header="0.3" footer="0.3"/>
  <pageSetup orientation="portrait" r:id="rId1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workbookViewId="0">
      <selection sqref="A1:J1"/>
    </sheetView>
  </sheetViews>
  <sheetFormatPr defaultRowHeight="14.5"/>
  <cols>
    <col min="1" max="1" width="10" customWidth="1"/>
    <col min="2" max="2" width="12.90625" bestFit="1" customWidth="1"/>
    <col min="18" max="18" width="15.81640625" bestFit="1" customWidth="1"/>
    <col min="19" max="19" width="11.453125" bestFit="1" customWidth="1"/>
    <col min="27" max="27" width="10.36328125" customWidth="1"/>
    <col min="28" max="28" width="11.453125" bestFit="1" customWidth="1"/>
    <col min="33" max="33" width="11.453125" bestFit="1" customWidth="1"/>
  </cols>
  <sheetData>
    <row r="1" spans="1:24" ht="28.5">
      <c r="A1" s="77" t="s">
        <v>217</v>
      </c>
      <c r="B1" s="77"/>
      <c r="C1" s="77"/>
      <c r="D1" s="77"/>
      <c r="E1" s="77"/>
      <c r="F1" s="77"/>
      <c r="G1" s="77"/>
      <c r="H1" s="77"/>
      <c r="I1" s="77"/>
      <c r="J1" s="77"/>
    </row>
    <row r="4" spans="1:24">
      <c r="D4" s="81" t="s">
        <v>219</v>
      </c>
      <c r="E4" s="81"/>
      <c r="F4" s="81"/>
      <c r="G4" s="81"/>
    </row>
    <row r="5" spans="1:24">
      <c r="U5" s="78" t="s">
        <v>218</v>
      </c>
      <c r="V5" s="79"/>
      <c r="W5" s="79"/>
      <c r="X5" s="80"/>
    </row>
    <row r="6" spans="1:24">
      <c r="A6" s="12" t="s">
        <v>6</v>
      </c>
      <c r="B6" s="13" t="s">
        <v>214</v>
      </c>
      <c r="R6" s="12" t="s">
        <v>6</v>
      </c>
      <c r="S6" s="13" t="s">
        <v>216</v>
      </c>
    </row>
    <row r="7" spans="1:24">
      <c r="A7" s="13" t="s">
        <v>78</v>
      </c>
      <c r="B7" s="14">
        <v>41</v>
      </c>
      <c r="R7" s="13" t="s">
        <v>9</v>
      </c>
      <c r="S7" s="14">
        <v>431</v>
      </c>
    </row>
    <row r="8" spans="1:24">
      <c r="A8" s="13" t="s">
        <v>9</v>
      </c>
      <c r="B8" s="14">
        <v>12</v>
      </c>
      <c r="R8" s="13" t="s">
        <v>18</v>
      </c>
      <c r="S8" s="14">
        <v>235</v>
      </c>
    </row>
    <row r="9" spans="1:24">
      <c r="A9" s="13" t="s">
        <v>87</v>
      </c>
      <c r="B9" s="14">
        <v>4</v>
      </c>
      <c r="R9" s="13" t="s">
        <v>77</v>
      </c>
      <c r="S9" s="14">
        <v>37</v>
      </c>
    </row>
    <row r="10" spans="1:24">
      <c r="A10" s="13" t="s">
        <v>77</v>
      </c>
      <c r="B10" s="14">
        <v>2</v>
      </c>
    </row>
    <row r="24" spans="1:19">
      <c r="R24" s="12" t="s">
        <v>7</v>
      </c>
      <c r="S24" s="13" t="s">
        <v>216</v>
      </c>
    </row>
    <row r="25" spans="1:19">
      <c r="A25" s="12" t="s">
        <v>7</v>
      </c>
      <c r="B25" s="13" t="s">
        <v>214</v>
      </c>
      <c r="R25" s="13" t="s">
        <v>36</v>
      </c>
      <c r="S25" s="14">
        <v>124</v>
      </c>
    </row>
    <row r="26" spans="1:19">
      <c r="A26" s="13" t="s">
        <v>36</v>
      </c>
      <c r="B26" s="14">
        <v>6</v>
      </c>
      <c r="R26" s="13" t="s">
        <v>31</v>
      </c>
      <c r="S26" s="14">
        <v>285</v>
      </c>
    </row>
    <row r="27" spans="1:19">
      <c r="A27" s="13" t="s">
        <v>31</v>
      </c>
      <c r="B27" s="14">
        <v>2</v>
      </c>
      <c r="R27" s="13" t="s">
        <v>19</v>
      </c>
      <c r="S27" s="14">
        <v>224</v>
      </c>
    </row>
    <row r="28" spans="1:19">
      <c r="A28" s="13" t="s">
        <v>19</v>
      </c>
      <c r="B28" s="14">
        <v>15</v>
      </c>
      <c r="R28" s="13" t="s">
        <v>13</v>
      </c>
      <c r="S28" s="14">
        <v>70</v>
      </c>
    </row>
    <row r="29" spans="1:19">
      <c r="A29" s="13" t="s">
        <v>13</v>
      </c>
      <c r="B29" s="14">
        <v>36</v>
      </c>
    </row>
  </sheetData>
  <mergeCells count="3">
    <mergeCell ref="A1:J1"/>
    <mergeCell ref="U5:X5"/>
    <mergeCell ref="D4:G4"/>
  </mergeCells>
  <pageMargins left="0.7" right="0.7" top="0.75" bottom="0.75" header="0.3" footer="0.3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"/>
  <sheetViews>
    <sheetView workbookViewId="0"/>
  </sheetViews>
  <sheetFormatPr defaultRowHeight="14.5"/>
  <cols>
    <col min="1" max="1" width="10" bestFit="1" customWidth="1"/>
    <col min="2" max="2" width="11.453125" bestFit="1" customWidth="1"/>
  </cols>
  <sheetData>
    <row r="2" spans="1:7">
      <c r="D2" s="81" t="s">
        <v>219</v>
      </c>
      <c r="E2" s="81"/>
      <c r="F2" s="81"/>
      <c r="G2" s="81"/>
    </row>
    <row r="3" spans="1:7">
      <c r="A3" s="15" t="s">
        <v>6</v>
      </c>
      <c r="B3" t="s">
        <v>216</v>
      </c>
    </row>
    <row r="4" spans="1:7">
      <c r="A4" t="s">
        <v>78</v>
      </c>
      <c r="B4" s="16">
        <v>1370</v>
      </c>
    </row>
    <row r="5" spans="1:7">
      <c r="A5" t="s">
        <v>9</v>
      </c>
      <c r="B5" s="16">
        <v>93</v>
      </c>
    </row>
    <row r="6" spans="1:7">
      <c r="A6" t="s">
        <v>87</v>
      </c>
      <c r="B6" s="16">
        <v>813</v>
      </c>
    </row>
    <row r="7" spans="1:7">
      <c r="A7" t="s">
        <v>77</v>
      </c>
      <c r="B7" s="16">
        <v>2</v>
      </c>
    </row>
  </sheetData>
  <mergeCells count="1">
    <mergeCell ref="D2:G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topLeftCell="A4" workbookViewId="0">
      <selection activeCell="B9" sqref="B9"/>
    </sheetView>
  </sheetViews>
  <sheetFormatPr defaultColWidth="8.90625" defaultRowHeight="14.5"/>
  <cols>
    <col min="1" max="1" width="5.1796875" bestFit="1" customWidth="1"/>
    <col min="2" max="3" width="50.54296875" bestFit="1" customWidth="1"/>
    <col min="4" max="4" width="4.54296875" bestFit="1" customWidth="1"/>
    <col min="5" max="5" width="17" bestFit="1" customWidth="1"/>
    <col min="6" max="6" width="17.36328125" bestFit="1" customWidth="1"/>
    <col min="7" max="7" width="52.81640625" bestFit="1" customWidth="1"/>
    <col min="8" max="8" width="10.26953125" bestFit="1" customWidth="1"/>
    <col min="9" max="9" width="16.1796875" bestFit="1" customWidth="1"/>
    <col min="10" max="10" width="7" bestFit="1" customWidth="1"/>
  </cols>
  <sheetData>
    <row r="1" spans="1:10">
      <c r="A1" s="11" t="s">
        <v>0</v>
      </c>
      <c r="B1" s="11" t="s">
        <v>1</v>
      </c>
      <c r="C1" s="11" t="s">
        <v>2</v>
      </c>
      <c r="D1" s="11" t="s">
        <v>104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103</v>
      </c>
    </row>
    <row r="2" spans="1:10">
      <c r="A2" s="9">
        <v>3</v>
      </c>
      <c r="B2" t="s">
        <v>111</v>
      </c>
      <c r="C2" t="s">
        <v>111</v>
      </c>
      <c r="E2" t="s">
        <v>156</v>
      </c>
      <c r="F2" t="s">
        <v>156</v>
      </c>
      <c r="G2" t="s">
        <v>22</v>
      </c>
      <c r="H2" t="s">
        <v>78</v>
      </c>
      <c r="I2" t="s">
        <v>13</v>
      </c>
    </row>
    <row r="3" spans="1:10">
      <c r="A3" s="9">
        <v>4</v>
      </c>
      <c r="B3" t="s">
        <v>112</v>
      </c>
      <c r="C3" t="s">
        <v>112</v>
      </c>
      <c r="E3" t="s">
        <v>157</v>
      </c>
      <c r="F3" t="s">
        <v>157</v>
      </c>
      <c r="G3" t="s">
        <v>158</v>
      </c>
      <c r="H3" t="s">
        <v>78</v>
      </c>
      <c r="I3" t="s">
        <v>13</v>
      </c>
    </row>
    <row r="4" spans="1:10">
      <c r="A4" s="9">
        <v>5</v>
      </c>
      <c r="B4" t="s">
        <v>113</v>
      </c>
      <c r="C4" t="s">
        <v>113</v>
      </c>
      <c r="E4" t="s">
        <v>159</v>
      </c>
      <c r="F4" t="s">
        <v>160</v>
      </c>
      <c r="G4" t="s">
        <v>161</v>
      </c>
      <c r="H4" t="s">
        <v>78</v>
      </c>
      <c r="I4" t="s">
        <v>19</v>
      </c>
    </row>
    <row r="5" spans="1:10">
      <c r="A5" s="9">
        <v>6</v>
      </c>
      <c r="B5" t="s">
        <v>114</v>
      </c>
      <c r="C5" t="s">
        <v>114</v>
      </c>
      <c r="E5" t="s">
        <v>162</v>
      </c>
      <c r="F5" t="s">
        <v>163</v>
      </c>
      <c r="G5" t="s">
        <v>22</v>
      </c>
      <c r="H5" t="s">
        <v>78</v>
      </c>
      <c r="I5" t="s">
        <v>13</v>
      </c>
    </row>
    <row r="6" spans="1:10">
      <c r="A6" s="9">
        <v>7</v>
      </c>
      <c r="B6" t="s">
        <v>115</v>
      </c>
      <c r="C6" t="s">
        <v>164</v>
      </c>
      <c r="E6" t="s">
        <v>160</v>
      </c>
      <c r="F6" t="s">
        <v>163</v>
      </c>
      <c r="G6" t="s">
        <v>165</v>
      </c>
      <c r="H6" t="s">
        <v>78</v>
      </c>
      <c r="I6" t="s">
        <v>13</v>
      </c>
    </row>
    <row r="7" spans="1:10">
      <c r="A7" s="9">
        <v>8</v>
      </c>
      <c r="B7" t="s">
        <v>116</v>
      </c>
      <c r="C7" t="s">
        <v>116</v>
      </c>
      <c r="E7" t="s">
        <v>166</v>
      </c>
      <c r="F7" t="s">
        <v>167</v>
      </c>
      <c r="G7" t="s">
        <v>158</v>
      </c>
      <c r="H7" t="s">
        <v>78</v>
      </c>
      <c r="I7" t="s">
        <v>13</v>
      </c>
    </row>
    <row r="8" spans="1:10">
      <c r="A8" s="9">
        <v>9</v>
      </c>
      <c r="B8" t="s">
        <v>117</v>
      </c>
      <c r="C8" t="s">
        <v>117</v>
      </c>
      <c r="E8" t="s">
        <v>74</v>
      </c>
      <c r="F8" t="s">
        <v>167</v>
      </c>
      <c r="G8" t="s">
        <v>22</v>
      </c>
      <c r="H8" t="s">
        <v>78</v>
      </c>
      <c r="I8" t="s">
        <v>13</v>
      </c>
    </row>
    <row r="9" spans="1:10">
      <c r="A9" s="9">
        <v>10</v>
      </c>
      <c r="B9" t="s">
        <v>118</v>
      </c>
      <c r="C9" t="s">
        <v>118</v>
      </c>
      <c r="E9" t="s">
        <v>168</v>
      </c>
      <c r="F9" t="s">
        <v>167</v>
      </c>
      <c r="G9" t="s">
        <v>22</v>
      </c>
      <c r="H9" t="s">
        <v>78</v>
      </c>
      <c r="I9" t="s">
        <v>13</v>
      </c>
    </row>
    <row r="10" spans="1:10">
      <c r="A10" s="9">
        <v>11</v>
      </c>
      <c r="B10" t="s">
        <v>119</v>
      </c>
      <c r="C10" t="s">
        <v>119</v>
      </c>
      <c r="E10" t="s">
        <v>21</v>
      </c>
      <c r="F10" t="s">
        <v>167</v>
      </c>
      <c r="G10" t="s">
        <v>95</v>
      </c>
      <c r="H10" t="s">
        <v>78</v>
      </c>
      <c r="I10" t="s">
        <v>13</v>
      </c>
    </row>
    <row r="11" spans="1:10">
      <c r="A11" s="9">
        <v>12</v>
      </c>
      <c r="B11" t="s">
        <v>120</v>
      </c>
      <c r="C11" t="s">
        <v>120</v>
      </c>
      <c r="E11" t="s">
        <v>166</v>
      </c>
      <c r="F11" t="s">
        <v>169</v>
      </c>
      <c r="G11" t="s">
        <v>70</v>
      </c>
      <c r="H11" t="s">
        <v>78</v>
      </c>
      <c r="I11" t="s">
        <v>13</v>
      </c>
    </row>
    <row r="12" spans="1:10">
      <c r="A12" s="9">
        <v>13</v>
      </c>
      <c r="B12" t="s">
        <v>25</v>
      </c>
      <c r="C12" t="s">
        <v>26</v>
      </c>
      <c r="E12" t="s">
        <v>27</v>
      </c>
      <c r="F12" t="s">
        <v>12</v>
      </c>
      <c r="G12" t="s">
        <v>97</v>
      </c>
      <c r="H12" t="s">
        <v>9</v>
      </c>
      <c r="I12" t="s">
        <v>13</v>
      </c>
    </row>
    <row r="13" spans="1:10">
      <c r="A13" s="9">
        <v>14</v>
      </c>
      <c r="B13" t="s">
        <v>10</v>
      </c>
      <c r="C13" t="s">
        <v>8</v>
      </c>
      <c r="E13" t="s">
        <v>11</v>
      </c>
      <c r="F13" t="s">
        <v>12</v>
      </c>
      <c r="G13" t="s">
        <v>158</v>
      </c>
      <c r="H13" t="s">
        <v>9</v>
      </c>
      <c r="I13" t="s">
        <v>13</v>
      </c>
    </row>
    <row r="14" spans="1:10">
      <c r="A14" s="9">
        <v>15</v>
      </c>
      <c r="B14" t="s">
        <v>14</v>
      </c>
      <c r="C14" t="s">
        <v>14</v>
      </c>
      <c r="E14" t="s">
        <v>15</v>
      </c>
      <c r="F14" t="s">
        <v>12</v>
      </c>
      <c r="G14" t="s">
        <v>158</v>
      </c>
      <c r="H14" t="s">
        <v>9</v>
      </c>
      <c r="I14" t="s">
        <v>13</v>
      </c>
    </row>
    <row r="15" spans="1:10">
      <c r="A15" s="9">
        <v>16</v>
      </c>
      <c r="B15" t="s">
        <v>20</v>
      </c>
      <c r="C15" t="s">
        <v>20</v>
      </c>
      <c r="E15" t="s">
        <v>21</v>
      </c>
      <c r="F15" t="s">
        <v>12</v>
      </c>
      <c r="G15" t="s">
        <v>22</v>
      </c>
      <c r="H15" t="s">
        <v>9</v>
      </c>
      <c r="I15" t="s">
        <v>13</v>
      </c>
    </row>
    <row r="16" spans="1:10">
      <c r="A16" s="9">
        <v>17</v>
      </c>
      <c r="B16" t="s">
        <v>23</v>
      </c>
      <c r="C16" t="s">
        <v>23</v>
      </c>
      <c r="E16" t="s">
        <v>24</v>
      </c>
      <c r="F16" t="s">
        <v>12</v>
      </c>
      <c r="G16" t="s">
        <v>22</v>
      </c>
      <c r="H16" t="s">
        <v>9</v>
      </c>
      <c r="I16" t="s">
        <v>13</v>
      </c>
    </row>
    <row r="17" spans="1:9">
      <c r="A17" s="9">
        <v>18</v>
      </c>
      <c r="B17" t="s">
        <v>121</v>
      </c>
      <c r="C17" t="s">
        <v>121</v>
      </c>
      <c r="E17" t="s">
        <v>170</v>
      </c>
      <c r="F17" t="s">
        <v>12</v>
      </c>
      <c r="G17" t="s">
        <v>171</v>
      </c>
      <c r="H17" t="s">
        <v>87</v>
      </c>
      <c r="I17" t="s">
        <v>13</v>
      </c>
    </row>
    <row r="18" spans="1:9">
      <c r="A18" s="9">
        <v>19</v>
      </c>
      <c r="B18" t="s">
        <v>122</v>
      </c>
      <c r="C18" t="s">
        <v>122</v>
      </c>
      <c r="E18" t="s">
        <v>172</v>
      </c>
      <c r="F18" t="s">
        <v>12</v>
      </c>
      <c r="G18" t="s">
        <v>158</v>
      </c>
      <c r="H18" t="s">
        <v>78</v>
      </c>
      <c r="I18" t="s">
        <v>13</v>
      </c>
    </row>
    <row r="19" spans="1:9">
      <c r="A19" s="9">
        <v>20</v>
      </c>
      <c r="B19" t="s">
        <v>123</v>
      </c>
      <c r="C19" t="s">
        <v>123</v>
      </c>
      <c r="E19" t="s">
        <v>162</v>
      </c>
      <c r="F19" t="s">
        <v>12</v>
      </c>
      <c r="G19" t="s">
        <v>22</v>
      </c>
      <c r="H19" t="s">
        <v>78</v>
      </c>
      <c r="I19" t="s">
        <v>13</v>
      </c>
    </row>
    <row r="20" spans="1:9">
      <c r="A20" s="9">
        <v>21</v>
      </c>
      <c r="B20" t="s">
        <v>124</v>
      </c>
      <c r="C20" t="s">
        <v>124</v>
      </c>
      <c r="E20" t="s">
        <v>173</v>
      </c>
      <c r="F20" t="s">
        <v>12</v>
      </c>
      <c r="G20" t="s">
        <v>174</v>
      </c>
      <c r="H20" t="s">
        <v>78</v>
      </c>
      <c r="I20" t="s">
        <v>13</v>
      </c>
    </row>
    <row r="21" spans="1:9">
      <c r="A21" s="9">
        <v>22</v>
      </c>
      <c r="B21" t="s">
        <v>125</v>
      </c>
      <c r="C21" t="s">
        <v>125</v>
      </c>
      <c r="E21" t="s">
        <v>175</v>
      </c>
      <c r="F21" t="s">
        <v>12</v>
      </c>
      <c r="G21" t="s">
        <v>176</v>
      </c>
      <c r="H21" t="s">
        <v>78</v>
      </c>
      <c r="I21" t="s">
        <v>13</v>
      </c>
    </row>
    <row r="22" spans="1:9">
      <c r="A22" s="9">
        <v>23</v>
      </c>
      <c r="B22" t="s">
        <v>126</v>
      </c>
      <c r="C22" t="s">
        <v>126</v>
      </c>
      <c r="E22" t="s">
        <v>177</v>
      </c>
      <c r="F22" t="s">
        <v>12</v>
      </c>
      <c r="G22" t="s">
        <v>178</v>
      </c>
      <c r="H22" t="s">
        <v>78</v>
      </c>
      <c r="I22" t="s">
        <v>13</v>
      </c>
    </row>
    <row r="23" spans="1:9">
      <c r="A23" s="9">
        <v>24</v>
      </c>
      <c r="B23" t="s">
        <v>127</v>
      </c>
      <c r="C23" t="s">
        <v>127</v>
      </c>
      <c r="E23" t="s">
        <v>179</v>
      </c>
      <c r="F23" t="s">
        <v>12</v>
      </c>
      <c r="G23" t="s">
        <v>97</v>
      </c>
      <c r="H23" t="s">
        <v>78</v>
      </c>
      <c r="I23" t="s">
        <v>13</v>
      </c>
    </row>
    <row r="24" spans="1:9">
      <c r="A24" s="9">
        <v>25</v>
      </c>
      <c r="B24" t="s">
        <v>128</v>
      </c>
      <c r="C24" t="s">
        <v>128</v>
      </c>
      <c r="E24" t="s">
        <v>74</v>
      </c>
      <c r="F24" t="s">
        <v>12</v>
      </c>
      <c r="G24" t="s">
        <v>176</v>
      </c>
      <c r="H24" t="s">
        <v>78</v>
      </c>
      <c r="I24" t="s">
        <v>13</v>
      </c>
    </row>
    <row r="25" spans="1:9">
      <c r="A25" s="9">
        <v>26</v>
      </c>
      <c r="B25" t="s">
        <v>129</v>
      </c>
      <c r="C25" t="s">
        <v>129</v>
      </c>
      <c r="E25" t="s">
        <v>180</v>
      </c>
      <c r="F25" t="s">
        <v>12</v>
      </c>
      <c r="G25" t="s">
        <v>22</v>
      </c>
      <c r="H25" t="s">
        <v>78</v>
      </c>
      <c r="I25" t="s">
        <v>13</v>
      </c>
    </row>
    <row r="26" spans="1:9">
      <c r="A26" s="9">
        <v>27</v>
      </c>
      <c r="B26" t="s">
        <v>130</v>
      </c>
      <c r="C26" t="s">
        <v>130</v>
      </c>
      <c r="E26" t="s">
        <v>181</v>
      </c>
      <c r="F26" t="s">
        <v>12</v>
      </c>
      <c r="G26" t="s">
        <v>22</v>
      </c>
      <c r="H26" t="s">
        <v>78</v>
      </c>
      <c r="I26" t="s">
        <v>13</v>
      </c>
    </row>
    <row r="27" spans="1:9">
      <c r="A27" s="9">
        <v>28</v>
      </c>
      <c r="B27" t="s">
        <v>131</v>
      </c>
      <c r="C27" t="s">
        <v>131</v>
      </c>
      <c r="E27" t="s">
        <v>72</v>
      </c>
      <c r="F27" t="s">
        <v>12</v>
      </c>
      <c r="H27" t="s">
        <v>78</v>
      </c>
      <c r="I27" t="s">
        <v>13</v>
      </c>
    </row>
    <row r="28" spans="1:9">
      <c r="A28" s="9">
        <v>29</v>
      </c>
      <c r="B28" t="s">
        <v>132</v>
      </c>
      <c r="C28" t="s">
        <v>132</v>
      </c>
      <c r="E28" t="s">
        <v>182</v>
      </c>
      <c r="F28" t="s">
        <v>12</v>
      </c>
      <c r="G28" t="s">
        <v>22</v>
      </c>
      <c r="H28" t="s">
        <v>78</v>
      </c>
      <c r="I28" t="s">
        <v>13</v>
      </c>
    </row>
    <row r="29" spans="1:9">
      <c r="A29" s="9">
        <v>30</v>
      </c>
      <c r="B29" t="s">
        <v>133</v>
      </c>
      <c r="C29" t="s">
        <v>133</v>
      </c>
      <c r="E29" t="s">
        <v>183</v>
      </c>
      <c r="F29" t="s">
        <v>12</v>
      </c>
      <c r="G29" t="s">
        <v>97</v>
      </c>
      <c r="H29" t="s">
        <v>78</v>
      </c>
      <c r="I29" t="s">
        <v>13</v>
      </c>
    </row>
    <row r="30" spans="1:9">
      <c r="A30" s="9">
        <v>31</v>
      </c>
      <c r="B30" t="s">
        <v>134</v>
      </c>
      <c r="C30" t="s">
        <v>134</v>
      </c>
      <c r="E30" t="s">
        <v>184</v>
      </c>
      <c r="F30" t="s">
        <v>12</v>
      </c>
      <c r="G30" t="s">
        <v>22</v>
      </c>
      <c r="H30" t="s">
        <v>78</v>
      </c>
      <c r="I30" t="s">
        <v>13</v>
      </c>
    </row>
    <row r="31" spans="1:9">
      <c r="A31" s="9">
        <v>32</v>
      </c>
      <c r="B31" t="s">
        <v>135</v>
      </c>
      <c r="C31" t="s">
        <v>135</v>
      </c>
      <c r="E31" t="s">
        <v>185</v>
      </c>
      <c r="F31" t="s">
        <v>12</v>
      </c>
      <c r="H31" t="s">
        <v>78</v>
      </c>
      <c r="I31" t="s">
        <v>13</v>
      </c>
    </row>
    <row r="32" spans="1:9">
      <c r="A32" s="9">
        <v>33</v>
      </c>
      <c r="B32" t="s">
        <v>136</v>
      </c>
      <c r="C32" t="s">
        <v>136</v>
      </c>
      <c r="E32" t="s">
        <v>186</v>
      </c>
      <c r="F32" t="s">
        <v>12</v>
      </c>
      <c r="G32" t="s">
        <v>81</v>
      </c>
      <c r="H32" t="s">
        <v>78</v>
      </c>
      <c r="I32" t="s">
        <v>13</v>
      </c>
    </row>
    <row r="33" spans="1:9">
      <c r="A33" s="9">
        <v>34</v>
      </c>
      <c r="B33" t="s">
        <v>137</v>
      </c>
      <c r="C33" t="s">
        <v>137</v>
      </c>
      <c r="E33" t="s">
        <v>187</v>
      </c>
      <c r="F33" t="s">
        <v>12</v>
      </c>
      <c r="G33" t="s">
        <v>81</v>
      </c>
      <c r="H33" t="s">
        <v>78</v>
      </c>
      <c r="I33" t="s">
        <v>13</v>
      </c>
    </row>
    <row r="34" spans="1:9">
      <c r="A34" s="9">
        <v>36</v>
      </c>
      <c r="B34" t="s">
        <v>16</v>
      </c>
      <c r="C34" t="s">
        <v>16</v>
      </c>
      <c r="E34" t="s">
        <v>17</v>
      </c>
      <c r="F34" t="s">
        <v>12</v>
      </c>
      <c r="G34" t="s">
        <v>95</v>
      </c>
      <c r="H34" t="s">
        <v>18</v>
      </c>
      <c r="I34" t="s">
        <v>19</v>
      </c>
    </row>
    <row r="35" spans="1:9">
      <c r="A35" s="9">
        <v>37</v>
      </c>
      <c r="B35" t="s">
        <v>138</v>
      </c>
      <c r="C35" t="s">
        <v>138</v>
      </c>
      <c r="E35" t="s">
        <v>186</v>
      </c>
      <c r="F35" t="s">
        <v>188</v>
      </c>
      <c r="G35" t="s">
        <v>189</v>
      </c>
      <c r="H35" t="s">
        <v>87</v>
      </c>
      <c r="I35" t="s">
        <v>36</v>
      </c>
    </row>
    <row r="36" spans="1:9">
      <c r="A36" s="9">
        <v>38</v>
      </c>
      <c r="B36" t="s">
        <v>139</v>
      </c>
      <c r="C36" t="s">
        <v>139</v>
      </c>
      <c r="E36" t="s">
        <v>190</v>
      </c>
      <c r="F36" t="s">
        <v>191</v>
      </c>
      <c r="G36" t="s">
        <v>176</v>
      </c>
      <c r="H36" t="s">
        <v>78</v>
      </c>
      <c r="I36" t="s">
        <v>13</v>
      </c>
    </row>
    <row r="37" spans="1:9">
      <c r="A37" s="9">
        <v>39</v>
      </c>
      <c r="B37" t="s">
        <v>140</v>
      </c>
      <c r="C37" t="s">
        <v>192</v>
      </c>
      <c r="E37" t="s">
        <v>193</v>
      </c>
      <c r="F37" t="s">
        <v>194</v>
      </c>
      <c r="G37" t="s">
        <v>158</v>
      </c>
      <c r="H37" t="s">
        <v>78</v>
      </c>
      <c r="I37" t="s">
        <v>13</v>
      </c>
    </row>
    <row r="38" spans="1:9">
      <c r="A38" s="9">
        <v>40</v>
      </c>
      <c r="B38" t="s">
        <v>141</v>
      </c>
      <c r="C38" t="s">
        <v>141</v>
      </c>
      <c r="E38" t="s">
        <v>195</v>
      </c>
      <c r="F38" t="s">
        <v>194</v>
      </c>
      <c r="G38" t="s">
        <v>178</v>
      </c>
      <c r="H38" t="s">
        <v>87</v>
      </c>
      <c r="I38" t="s">
        <v>13</v>
      </c>
    </row>
    <row r="39" spans="1:9">
      <c r="A39" s="9">
        <v>41</v>
      </c>
      <c r="B39" t="s">
        <v>142</v>
      </c>
      <c r="C39" t="s">
        <v>196</v>
      </c>
      <c r="E39" t="s">
        <v>197</v>
      </c>
      <c r="F39" t="s">
        <v>198</v>
      </c>
      <c r="G39" t="s">
        <v>98</v>
      </c>
      <c r="H39" t="s">
        <v>78</v>
      </c>
      <c r="I39" t="s">
        <v>13</v>
      </c>
    </row>
    <row r="40" spans="1:9">
      <c r="A40" s="9">
        <v>42</v>
      </c>
      <c r="B40" t="s">
        <v>143</v>
      </c>
      <c r="C40" t="s">
        <v>143</v>
      </c>
      <c r="E40" t="s">
        <v>169</v>
      </c>
      <c r="F40" t="s">
        <v>198</v>
      </c>
      <c r="G40" t="s">
        <v>199</v>
      </c>
      <c r="H40" t="s">
        <v>78</v>
      </c>
      <c r="I40" t="s">
        <v>36</v>
      </c>
    </row>
    <row r="41" spans="1:9">
      <c r="A41" s="9">
        <v>46</v>
      </c>
      <c r="B41" t="s">
        <v>144</v>
      </c>
      <c r="C41" t="s">
        <v>144</v>
      </c>
      <c r="E41" t="s">
        <v>71</v>
      </c>
      <c r="F41" t="s">
        <v>35</v>
      </c>
      <c r="G41" t="s">
        <v>158</v>
      </c>
      <c r="H41" t="s">
        <v>78</v>
      </c>
      <c r="I41" t="s">
        <v>13</v>
      </c>
    </row>
    <row r="42" spans="1:9">
      <c r="A42" s="9">
        <v>47</v>
      </c>
      <c r="B42" t="s">
        <v>33</v>
      </c>
      <c r="C42" t="s">
        <v>34</v>
      </c>
      <c r="E42" t="s">
        <v>32</v>
      </c>
      <c r="F42" t="s">
        <v>35</v>
      </c>
      <c r="G42" t="s">
        <v>200</v>
      </c>
      <c r="H42" t="s">
        <v>78</v>
      </c>
      <c r="I42" t="s">
        <v>36</v>
      </c>
    </row>
    <row r="43" spans="1:9">
      <c r="A43" s="9">
        <v>50</v>
      </c>
      <c r="B43" t="s">
        <v>37</v>
      </c>
      <c r="C43" t="s">
        <v>37</v>
      </c>
      <c r="E43" t="s">
        <v>38</v>
      </c>
      <c r="F43" t="s">
        <v>39</v>
      </c>
      <c r="G43" t="s">
        <v>98</v>
      </c>
      <c r="H43" t="s">
        <v>9</v>
      </c>
      <c r="I43" t="s">
        <v>19</v>
      </c>
    </row>
    <row r="44" spans="1:9">
      <c r="A44" s="9">
        <v>51</v>
      </c>
      <c r="B44" t="s">
        <v>145</v>
      </c>
      <c r="C44" t="s">
        <v>145</v>
      </c>
      <c r="E44" t="s">
        <v>201</v>
      </c>
      <c r="F44" t="s">
        <v>202</v>
      </c>
      <c r="G44" t="s">
        <v>189</v>
      </c>
      <c r="H44" t="s">
        <v>78</v>
      </c>
      <c r="I44" t="s">
        <v>13</v>
      </c>
    </row>
    <row r="45" spans="1:9">
      <c r="A45" s="9">
        <v>52</v>
      </c>
      <c r="B45" t="s">
        <v>43</v>
      </c>
      <c r="C45" t="s">
        <v>43</v>
      </c>
      <c r="E45" t="s">
        <v>21</v>
      </c>
      <c r="F45" t="s">
        <v>40</v>
      </c>
      <c r="G45" t="s">
        <v>165</v>
      </c>
      <c r="H45" t="s">
        <v>9</v>
      </c>
      <c r="I45" t="s">
        <v>13</v>
      </c>
    </row>
    <row r="46" spans="1:9">
      <c r="A46" s="9">
        <v>53</v>
      </c>
      <c r="B46" t="s">
        <v>41</v>
      </c>
      <c r="C46" t="s">
        <v>41</v>
      </c>
      <c r="E46" t="s">
        <v>30</v>
      </c>
      <c r="F46" t="s">
        <v>40</v>
      </c>
      <c r="G46" t="s">
        <v>165</v>
      </c>
      <c r="H46" t="s">
        <v>9</v>
      </c>
      <c r="I46" t="s">
        <v>19</v>
      </c>
    </row>
    <row r="47" spans="1:9">
      <c r="A47" s="9">
        <v>58</v>
      </c>
      <c r="B47" t="s">
        <v>79</v>
      </c>
      <c r="C47" t="s">
        <v>79</v>
      </c>
      <c r="E47" t="s">
        <v>35</v>
      </c>
      <c r="F47" t="s">
        <v>203</v>
      </c>
      <c r="G47" t="s">
        <v>158</v>
      </c>
      <c r="H47" t="s">
        <v>78</v>
      </c>
      <c r="I47" t="s">
        <v>13</v>
      </c>
    </row>
    <row r="48" spans="1:9">
      <c r="A48" s="9">
        <v>59</v>
      </c>
      <c r="B48" t="s">
        <v>44</v>
      </c>
      <c r="C48" t="s">
        <v>44</v>
      </c>
      <c r="E48" t="s">
        <v>17</v>
      </c>
      <c r="F48" t="s">
        <v>45</v>
      </c>
      <c r="G48" t="s">
        <v>158</v>
      </c>
      <c r="H48" t="s">
        <v>9</v>
      </c>
      <c r="I48" t="s">
        <v>19</v>
      </c>
    </row>
    <row r="49" spans="1:9">
      <c r="A49" s="9">
        <v>60</v>
      </c>
      <c r="B49" t="s">
        <v>49</v>
      </c>
      <c r="C49" t="s">
        <v>49</v>
      </c>
      <c r="E49" t="s">
        <v>50</v>
      </c>
      <c r="F49" t="s">
        <v>48</v>
      </c>
      <c r="G49" t="s">
        <v>165</v>
      </c>
      <c r="H49" t="s">
        <v>9</v>
      </c>
      <c r="I49" t="s">
        <v>19</v>
      </c>
    </row>
    <row r="50" spans="1:9">
      <c r="A50" s="9">
        <v>61</v>
      </c>
      <c r="B50" t="s">
        <v>146</v>
      </c>
      <c r="C50" t="s">
        <v>146</v>
      </c>
      <c r="E50" t="s">
        <v>204</v>
      </c>
      <c r="F50" t="s">
        <v>48</v>
      </c>
      <c r="G50" t="s">
        <v>165</v>
      </c>
      <c r="H50" t="s">
        <v>78</v>
      </c>
      <c r="I50" t="s">
        <v>13</v>
      </c>
    </row>
    <row r="51" spans="1:9">
      <c r="A51" s="9">
        <v>62</v>
      </c>
      <c r="B51" t="s">
        <v>80</v>
      </c>
      <c r="C51" t="s">
        <v>80</v>
      </c>
      <c r="E51" t="s">
        <v>205</v>
      </c>
      <c r="F51" t="s">
        <v>206</v>
      </c>
      <c r="G51" t="s">
        <v>81</v>
      </c>
      <c r="H51" t="s">
        <v>78</v>
      </c>
      <c r="I51" t="s">
        <v>19</v>
      </c>
    </row>
    <row r="52" spans="1:9">
      <c r="A52" s="9">
        <v>63</v>
      </c>
      <c r="B52" t="s">
        <v>147</v>
      </c>
      <c r="C52" t="s">
        <v>147</v>
      </c>
      <c r="E52" t="s">
        <v>172</v>
      </c>
      <c r="F52" t="s">
        <v>52</v>
      </c>
      <c r="G52" t="s">
        <v>97</v>
      </c>
      <c r="H52" t="s">
        <v>78</v>
      </c>
      <c r="I52" t="s">
        <v>13</v>
      </c>
    </row>
    <row r="53" spans="1:9">
      <c r="A53" s="9">
        <v>65</v>
      </c>
      <c r="B53" t="s">
        <v>76</v>
      </c>
      <c r="C53" t="s">
        <v>34</v>
      </c>
      <c r="E53" t="s">
        <v>207</v>
      </c>
      <c r="F53" t="s">
        <v>101</v>
      </c>
      <c r="G53" t="s">
        <v>208</v>
      </c>
      <c r="H53" t="s">
        <v>78</v>
      </c>
      <c r="I53" t="s">
        <v>36</v>
      </c>
    </row>
    <row r="54" spans="1:9">
      <c r="A54" s="9">
        <v>66</v>
      </c>
      <c r="B54" t="s">
        <v>51</v>
      </c>
      <c r="C54" t="s">
        <v>51</v>
      </c>
      <c r="E54" t="s">
        <v>42</v>
      </c>
      <c r="F54" t="s">
        <v>55</v>
      </c>
      <c r="G54" t="s">
        <v>165</v>
      </c>
      <c r="H54" t="s">
        <v>77</v>
      </c>
      <c r="I54" t="s">
        <v>13</v>
      </c>
    </row>
    <row r="55" spans="1:9">
      <c r="A55" s="9">
        <v>67</v>
      </c>
      <c r="B55" t="s">
        <v>53</v>
      </c>
      <c r="C55" t="s">
        <v>53</v>
      </c>
      <c r="E55" t="s">
        <v>54</v>
      </c>
      <c r="F55" t="s">
        <v>55</v>
      </c>
      <c r="G55" t="s">
        <v>56</v>
      </c>
      <c r="H55" t="s">
        <v>9</v>
      </c>
      <c r="I55" t="s">
        <v>13</v>
      </c>
    </row>
    <row r="56" spans="1:9">
      <c r="A56" s="9">
        <v>68</v>
      </c>
      <c r="B56" t="s">
        <v>82</v>
      </c>
      <c r="C56" t="s">
        <v>82</v>
      </c>
      <c r="E56" t="s">
        <v>45</v>
      </c>
      <c r="F56" t="s">
        <v>209</v>
      </c>
      <c r="G56" t="s">
        <v>97</v>
      </c>
      <c r="H56" t="s">
        <v>78</v>
      </c>
      <c r="I56" t="s">
        <v>13</v>
      </c>
    </row>
    <row r="57" spans="1:9">
      <c r="A57" s="9">
        <v>72</v>
      </c>
      <c r="B57" t="s">
        <v>60</v>
      </c>
      <c r="C57" t="s">
        <v>34</v>
      </c>
      <c r="E57" t="s">
        <v>61</v>
      </c>
      <c r="F57" t="s">
        <v>59</v>
      </c>
      <c r="G57" t="s">
        <v>210</v>
      </c>
      <c r="H57" t="s">
        <v>9</v>
      </c>
      <c r="I57" t="s">
        <v>36</v>
      </c>
    </row>
    <row r="58" spans="1:9">
      <c r="A58" s="9">
        <v>73</v>
      </c>
      <c r="B58" t="s">
        <v>57</v>
      </c>
      <c r="C58" t="s">
        <v>57</v>
      </c>
      <c r="E58" t="s">
        <v>58</v>
      </c>
      <c r="F58" t="s">
        <v>59</v>
      </c>
      <c r="G58" t="s">
        <v>158</v>
      </c>
      <c r="H58" t="s">
        <v>18</v>
      </c>
      <c r="I58" t="s">
        <v>19</v>
      </c>
    </row>
    <row r="59" spans="1:9">
      <c r="A59" s="9">
        <v>74</v>
      </c>
      <c r="B59" t="s">
        <v>148</v>
      </c>
      <c r="C59" t="s">
        <v>148</v>
      </c>
      <c r="E59" t="s">
        <v>101</v>
      </c>
      <c r="F59" t="s">
        <v>59</v>
      </c>
      <c r="G59" t="s">
        <v>178</v>
      </c>
      <c r="H59" t="s">
        <v>78</v>
      </c>
      <c r="I59" t="s">
        <v>13</v>
      </c>
    </row>
    <row r="60" spans="1:9">
      <c r="A60" s="9">
        <v>82</v>
      </c>
      <c r="B60" t="s">
        <v>34</v>
      </c>
      <c r="C60" t="s">
        <v>34</v>
      </c>
      <c r="E60" t="s">
        <v>62</v>
      </c>
      <c r="F60" t="s">
        <v>63</v>
      </c>
      <c r="G60" t="s">
        <v>165</v>
      </c>
      <c r="H60" t="s">
        <v>9</v>
      </c>
      <c r="I60" t="s">
        <v>36</v>
      </c>
    </row>
    <row r="61" spans="1:9">
      <c r="A61" s="9">
        <v>83</v>
      </c>
      <c r="B61" t="s">
        <v>64</v>
      </c>
      <c r="C61" t="s">
        <v>34</v>
      </c>
      <c r="E61" t="s">
        <v>61</v>
      </c>
      <c r="F61" t="s">
        <v>65</v>
      </c>
      <c r="G61" t="s">
        <v>210</v>
      </c>
      <c r="H61" t="s">
        <v>9</v>
      </c>
      <c r="I61" t="s">
        <v>36</v>
      </c>
    </row>
    <row r="62" spans="1:9">
      <c r="A62" s="9">
        <v>86</v>
      </c>
      <c r="B62" t="s">
        <v>99</v>
      </c>
      <c r="C62" t="s">
        <v>100</v>
      </c>
      <c r="E62" t="s">
        <v>101</v>
      </c>
      <c r="F62" t="s">
        <v>102</v>
      </c>
      <c r="G62" t="s">
        <v>200</v>
      </c>
      <c r="H62" t="s">
        <v>9</v>
      </c>
      <c r="I62" t="s">
        <v>13</v>
      </c>
    </row>
    <row r="63" spans="1:9">
      <c r="A63" s="9">
        <v>90</v>
      </c>
      <c r="B63" t="s">
        <v>46</v>
      </c>
      <c r="C63" t="s">
        <v>46</v>
      </c>
      <c r="E63" t="s">
        <v>47</v>
      </c>
      <c r="F63" t="s">
        <v>211</v>
      </c>
      <c r="G63" t="s">
        <v>158</v>
      </c>
      <c r="H63" t="s">
        <v>9</v>
      </c>
      <c r="I63" t="s">
        <v>19</v>
      </c>
    </row>
    <row r="64" spans="1:9">
      <c r="A64" s="9">
        <v>94</v>
      </c>
      <c r="B64" t="s">
        <v>66</v>
      </c>
      <c r="C64" t="s">
        <v>66</v>
      </c>
      <c r="E64" t="s">
        <v>30</v>
      </c>
      <c r="F64" t="s">
        <v>67</v>
      </c>
      <c r="G64" t="s">
        <v>165</v>
      </c>
      <c r="H64" t="s">
        <v>9</v>
      </c>
      <c r="I64" t="s">
        <v>19</v>
      </c>
    </row>
    <row r="65" spans="1:9">
      <c r="A65" s="9">
        <v>97</v>
      </c>
      <c r="B65" t="s">
        <v>75</v>
      </c>
      <c r="C65" t="s">
        <v>75</v>
      </c>
      <c r="E65" t="s">
        <v>30</v>
      </c>
      <c r="G65" t="s">
        <v>158</v>
      </c>
      <c r="H65" t="s">
        <v>9</v>
      </c>
      <c r="I65" t="s">
        <v>19</v>
      </c>
    </row>
    <row r="66" spans="1:9">
      <c r="A66" s="9">
        <v>98</v>
      </c>
      <c r="B66" t="s">
        <v>73</v>
      </c>
      <c r="C66" t="s">
        <v>73</v>
      </c>
      <c r="E66" t="s">
        <v>74</v>
      </c>
      <c r="G66" t="s">
        <v>158</v>
      </c>
      <c r="H66" t="s">
        <v>9</v>
      </c>
      <c r="I66" t="s">
        <v>19</v>
      </c>
    </row>
    <row r="67" spans="1:9">
      <c r="A67" s="9">
        <v>103</v>
      </c>
      <c r="B67" t="s">
        <v>68</v>
      </c>
      <c r="C67" t="s">
        <v>68</v>
      </c>
      <c r="E67" t="s">
        <v>69</v>
      </c>
      <c r="G67" t="s">
        <v>70</v>
      </c>
      <c r="H67" t="s">
        <v>18</v>
      </c>
      <c r="I67" t="s">
        <v>19</v>
      </c>
    </row>
    <row r="68" spans="1:9">
      <c r="A68" s="9">
        <v>104</v>
      </c>
      <c r="B68" t="s">
        <v>149</v>
      </c>
      <c r="C68" t="s">
        <v>149</v>
      </c>
      <c r="E68" t="s">
        <v>212</v>
      </c>
      <c r="G68" t="s">
        <v>161</v>
      </c>
      <c r="H68" t="s">
        <v>78</v>
      </c>
      <c r="I68" t="s">
        <v>19</v>
      </c>
    </row>
    <row r="69" spans="1:9">
      <c r="A69" s="9">
        <v>105</v>
      </c>
      <c r="B69" t="s">
        <v>150</v>
      </c>
      <c r="C69" t="s">
        <v>150</v>
      </c>
      <c r="E69" t="s">
        <v>69</v>
      </c>
      <c r="G69" t="s">
        <v>176</v>
      </c>
      <c r="H69" t="s">
        <v>78</v>
      </c>
      <c r="I69" t="s">
        <v>13</v>
      </c>
    </row>
    <row r="70" spans="1:9">
      <c r="A70" s="9">
        <v>106</v>
      </c>
      <c r="B70" t="s">
        <v>151</v>
      </c>
      <c r="C70" t="s">
        <v>151</v>
      </c>
      <c r="E70" t="s">
        <v>213</v>
      </c>
      <c r="H70" t="s">
        <v>87</v>
      </c>
      <c r="I70" t="s">
        <v>13</v>
      </c>
    </row>
    <row r="71" spans="1:9">
      <c r="A71" s="9">
        <v>107</v>
      </c>
      <c r="B71" t="s">
        <v>152</v>
      </c>
      <c r="C71" t="s">
        <v>152</v>
      </c>
      <c r="E71" t="s">
        <v>74</v>
      </c>
      <c r="G71" t="s">
        <v>81</v>
      </c>
      <c r="H71" t="s">
        <v>78</v>
      </c>
      <c r="I71" t="s">
        <v>13</v>
      </c>
    </row>
    <row r="72" spans="1:9">
      <c r="A72" s="9">
        <v>108</v>
      </c>
      <c r="B72" t="s">
        <v>153</v>
      </c>
      <c r="C72" t="s">
        <v>153</v>
      </c>
      <c r="E72" t="s">
        <v>173</v>
      </c>
      <c r="G72" t="s">
        <v>165</v>
      </c>
      <c r="H72" t="s">
        <v>78</v>
      </c>
      <c r="I72" t="s">
        <v>13</v>
      </c>
    </row>
    <row r="73" spans="1:9">
      <c r="A73" s="9">
        <v>109</v>
      </c>
      <c r="B73" t="s">
        <v>154</v>
      </c>
      <c r="C73" t="s">
        <v>154</v>
      </c>
      <c r="E73" t="s">
        <v>179</v>
      </c>
      <c r="G73" t="s">
        <v>158</v>
      </c>
      <c r="H73" t="s">
        <v>78</v>
      </c>
      <c r="I73" t="s">
        <v>13</v>
      </c>
    </row>
    <row r="74" spans="1:9">
      <c r="A74" s="9">
        <v>111</v>
      </c>
      <c r="B74" t="s">
        <v>155</v>
      </c>
      <c r="C74" t="s">
        <v>155</v>
      </c>
      <c r="E74" t="s">
        <v>17</v>
      </c>
      <c r="G74" t="s">
        <v>178</v>
      </c>
      <c r="H74" t="s">
        <v>78</v>
      </c>
      <c r="I74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/>
  </sheetViews>
  <sheetFormatPr defaultRowHeight="14.5"/>
  <cols>
    <col min="1" max="1" width="61.81640625" customWidth="1"/>
    <col min="2" max="2" width="11.81640625" bestFit="1" customWidth="1"/>
  </cols>
  <sheetData>
    <row r="1" spans="1:2">
      <c r="A1" s="15" t="s">
        <v>1343</v>
      </c>
      <c r="B1" t="s">
        <v>216</v>
      </c>
    </row>
    <row r="2" spans="1:2">
      <c r="A2" s="51" t="s">
        <v>1335</v>
      </c>
      <c r="B2" s="16">
        <v>13</v>
      </c>
    </row>
    <row r="3" spans="1:2">
      <c r="A3" s="52" t="s">
        <v>77</v>
      </c>
      <c r="B3" s="16">
        <v>13</v>
      </c>
    </row>
    <row r="4" spans="1:2">
      <c r="A4" s="51" t="s">
        <v>1337</v>
      </c>
      <c r="B4" s="16">
        <v>15</v>
      </c>
    </row>
    <row r="5" spans="1:2">
      <c r="A5" s="52" t="s">
        <v>77</v>
      </c>
      <c r="B5" s="16">
        <v>15</v>
      </c>
    </row>
    <row r="6" spans="1:2">
      <c r="A6" s="51" t="s">
        <v>1336</v>
      </c>
      <c r="B6" s="16">
        <v>14</v>
      </c>
    </row>
    <row r="7" spans="1:2">
      <c r="A7" s="52" t="s">
        <v>77</v>
      </c>
      <c r="B7" s="16">
        <v>14</v>
      </c>
    </row>
    <row r="8" spans="1:2">
      <c r="A8" s="51" t="s">
        <v>1338</v>
      </c>
      <c r="B8" s="16">
        <v>16.373626373626301</v>
      </c>
    </row>
    <row r="9" spans="1:2">
      <c r="A9" s="52" t="s">
        <v>77</v>
      </c>
      <c r="B9" s="16">
        <v>16.373626373626301</v>
      </c>
    </row>
    <row r="10" spans="1:2">
      <c r="A10" s="51" t="s">
        <v>1330</v>
      </c>
      <c r="B10" s="16">
        <v>8</v>
      </c>
    </row>
    <row r="11" spans="1:2">
      <c r="A11" s="52" t="s">
        <v>9</v>
      </c>
      <c r="B11" s="16">
        <v>8</v>
      </c>
    </row>
    <row r="12" spans="1:2">
      <c r="A12" s="51" t="s">
        <v>1329</v>
      </c>
      <c r="B12" s="16">
        <v>7</v>
      </c>
    </row>
    <row r="13" spans="1:2">
      <c r="A13" s="52" t="s">
        <v>9</v>
      </c>
      <c r="B13" s="16">
        <v>7</v>
      </c>
    </row>
    <row r="14" spans="1:2">
      <c r="A14" s="51" t="s">
        <v>1327</v>
      </c>
      <c r="B14" s="16">
        <v>4</v>
      </c>
    </row>
    <row r="15" spans="1:2">
      <c r="A15" s="52" t="s">
        <v>9</v>
      </c>
      <c r="B15" s="16">
        <v>4</v>
      </c>
    </row>
    <row r="16" spans="1:2">
      <c r="A16" s="51" t="s">
        <v>1326</v>
      </c>
      <c r="B16" s="16">
        <v>3</v>
      </c>
    </row>
    <row r="17" spans="1:2">
      <c r="A17" s="52" t="s">
        <v>9</v>
      </c>
      <c r="B17" s="16">
        <v>3</v>
      </c>
    </row>
    <row r="18" spans="1:2">
      <c r="A18" s="51" t="s">
        <v>1340</v>
      </c>
      <c r="B18" s="16">
        <v>18.549450549450501</v>
      </c>
    </row>
    <row r="19" spans="1:2">
      <c r="A19" s="52" t="s">
        <v>346</v>
      </c>
      <c r="B19" s="16">
        <v>18.549450549450501</v>
      </c>
    </row>
    <row r="20" spans="1:2">
      <c r="A20" s="51" t="s">
        <v>1331</v>
      </c>
      <c r="B20" s="16">
        <v>9</v>
      </c>
    </row>
    <row r="21" spans="1:2">
      <c r="A21" s="52" t="s">
        <v>9</v>
      </c>
      <c r="B21" s="16">
        <v>9</v>
      </c>
    </row>
    <row r="22" spans="1:2">
      <c r="A22" s="51" t="s">
        <v>1332</v>
      </c>
      <c r="B22" s="16">
        <v>10</v>
      </c>
    </row>
    <row r="23" spans="1:2">
      <c r="A23" s="52" t="s">
        <v>9</v>
      </c>
      <c r="B23" s="16">
        <v>10</v>
      </c>
    </row>
    <row r="24" spans="1:2">
      <c r="A24" s="51" t="s">
        <v>1333</v>
      </c>
      <c r="B24" s="16">
        <v>11</v>
      </c>
    </row>
    <row r="25" spans="1:2">
      <c r="A25" s="52" t="s">
        <v>9</v>
      </c>
      <c r="B25" s="16">
        <v>11</v>
      </c>
    </row>
    <row r="26" spans="1:2">
      <c r="A26" s="51" t="s">
        <v>1325</v>
      </c>
      <c r="B26" s="16">
        <v>2</v>
      </c>
    </row>
    <row r="27" spans="1:2">
      <c r="A27" s="52" t="s">
        <v>9</v>
      </c>
      <c r="B27" s="16">
        <v>2</v>
      </c>
    </row>
    <row r="28" spans="1:2">
      <c r="A28" s="51" t="s">
        <v>1328</v>
      </c>
      <c r="B28" s="16">
        <v>6</v>
      </c>
    </row>
    <row r="29" spans="1:2">
      <c r="A29" s="52" t="s">
        <v>9</v>
      </c>
      <c r="B29" s="16">
        <v>6</v>
      </c>
    </row>
    <row r="30" spans="1:2">
      <c r="A30" s="51" t="s">
        <v>1334</v>
      </c>
      <c r="B30" s="16">
        <v>12</v>
      </c>
    </row>
    <row r="31" spans="1:2">
      <c r="A31" s="52" t="s">
        <v>77</v>
      </c>
      <c r="B31" s="16">
        <v>12</v>
      </c>
    </row>
    <row r="32" spans="1:2">
      <c r="A32" s="51" t="s">
        <v>1341</v>
      </c>
      <c r="B32" s="16">
        <v>19.6373626373626</v>
      </c>
    </row>
    <row r="33" spans="1:2">
      <c r="A33" s="52" t="s">
        <v>346</v>
      </c>
      <c r="B33" s="16">
        <v>19.6373626373626</v>
      </c>
    </row>
    <row r="34" spans="1:2">
      <c r="A34" s="51" t="s">
        <v>1339</v>
      </c>
      <c r="B34" s="16">
        <v>17.4615384615384</v>
      </c>
    </row>
    <row r="35" spans="1:2">
      <c r="A35" s="52" t="s">
        <v>1342</v>
      </c>
      <c r="B35" s="16">
        <v>17.4615384615384</v>
      </c>
    </row>
    <row r="36" spans="1:2">
      <c r="A36" s="51" t="s">
        <v>1324</v>
      </c>
      <c r="B36" s="16">
        <v>1</v>
      </c>
    </row>
    <row r="37" spans="1:2">
      <c r="A37" s="52" t="s">
        <v>9</v>
      </c>
      <c r="B37" s="16">
        <v>1</v>
      </c>
    </row>
    <row r="38" spans="1:2">
      <c r="A38" s="51" t="s">
        <v>1344</v>
      </c>
      <c r="B38" s="16">
        <v>187.02197802197779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2"/>
  <sheetViews>
    <sheetView topLeftCell="E1" workbookViewId="0">
      <selection activeCell="E1" sqref="E1"/>
    </sheetView>
  </sheetViews>
  <sheetFormatPr defaultRowHeight="14.5"/>
  <cols>
    <col min="1" max="1" width="54.7265625" bestFit="1" customWidth="1"/>
    <col min="2" max="2" width="5.81640625" bestFit="1" customWidth="1"/>
    <col min="3" max="3" width="32" bestFit="1" customWidth="1"/>
    <col min="4" max="4" width="54.7265625" bestFit="1" customWidth="1"/>
    <col min="5" max="5" width="4.81640625" bestFit="1" customWidth="1"/>
    <col min="6" max="6" width="26.54296875" bestFit="1" customWidth="1"/>
    <col min="7" max="7" width="11.6328125" bestFit="1" customWidth="1"/>
    <col min="8" max="8" width="12.81640625" bestFit="1" customWidth="1"/>
    <col min="9" max="9" width="11.7265625" bestFit="1" customWidth="1"/>
    <col min="10" max="10" width="45.6328125" bestFit="1" customWidth="1"/>
    <col min="11" max="11" width="44.453125" bestFit="1" customWidth="1"/>
    <col min="12" max="12" width="14" bestFit="1" customWidth="1"/>
    <col min="13" max="13" width="33.1796875" bestFit="1" customWidth="1"/>
    <col min="14" max="14" width="23.81640625" bestFit="1" customWidth="1"/>
    <col min="15" max="15" width="9.54296875" bestFit="1" customWidth="1"/>
    <col min="16" max="16" width="10.81640625" bestFit="1" customWidth="1"/>
    <col min="17" max="17" width="13.6328125" bestFit="1" customWidth="1"/>
    <col min="18" max="18" width="7.26953125" bestFit="1" customWidth="1"/>
    <col min="19" max="19" width="17.6328125" bestFit="1" customWidth="1"/>
    <col min="20" max="20" width="11.453125" bestFit="1" customWidth="1"/>
    <col min="21" max="21" width="9.90625" bestFit="1" customWidth="1"/>
    <col min="22" max="22" width="14.90625" bestFit="1" customWidth="1"/>
    <col min="23" max="23" width="19" bestFit="1" customWidth="1"/>
    <col min="24" max="24" width="13.81640625" bestFit="1" customWidth="1"/>
    <col min="25" max="25" width="14.81640625" bestFit="1" customWidth="1"/>
    <col min="26" max="26" width="10.81640625" bestFit="1" customWidth="1"/>
    <col min="27" max="27" width="7.90625" bestFit="1" customWidth="1"/>
    <col min="28" max="28" width="4.7265625" bestFit="1" customWidth="1"/>
  </cols>
  <sheetData>
    <row r="1" spans="1:28" ht="16" thickBot="1">
      <c r="A1" s="32" t="s">
        <v>383</v>
      </c>
      <c r="B1" s="32" t="s">
        <v>384</v>
      </c>
      <c r="C1" s="32" t="s">
        <v>283</v>
      </c>
      <c r="D1" s="32" t="s">
        <v>385</v>
      </c>
      <c r="E1" s="32" t="s">
        <v>386</v>
      </c>
      <c r="F1" s="32" t="s">
        <v>387</v>
      </c>
      <c r="G1" s="32" t="s">
        <v>388</v>
      </c>
      <c r="H1" s="32" t="s">
        <v>389</v>
      </c>
      <c r="I1" s="32" t="s">
        <v>390</v>
      </c>
      <c r="J1" s="32" t="s">
        <v>391</v>
      </c>
      <c r="K1" s="32" t="s">
        <v>392</v>
      </c>
      <c r="L1" s="32" t="s">
        <v>393</v>
      </c>
      <c r="M1" s="32" t="s">
        <v>333</v>
      </c>
      <c r="N1" s="32" t="s">
        <v>394</v>
      </c>
      <c r="O1" s="32" t="s">
        <v>395</v>
      </c>
      <c r="P1" s="32" t="s">
        <v>396</v>
      </c>
      <c r="Q1" s="32" t="s">
        <v>397</v>
      </c>
      <c r="R1" s="32" t="s">
        <v>398</v>
      </c>
      <c r="S1" s="32" t="s">
        <v>399</v>
      </c>
      <c r="T1" s="32" t="s">
        <v>400</v>
      </c>
      <c r="U1" s="32" t="s">
        <v>401</v>
      </c>
      <c r="V1" s="32" t="s">
        <v>402</v>
      </c>
      <c r="W1" s="32" t="s">
        <v>403</v>
      </c>
      <c r="X1" s="32" t="s">
        <v>404</v>
      </c>
      <c r="Y1" s="33"/>
      <c r="Z1" s="33"/>
      <c r="AA1" s="33"/>
      <c r="AB1" s="33"/>
    </row>
    <row r="2" spans="1:28" ht="16" thickBot="1">
      <c r="A2" s="34" t="s">
        <v>405</v>
      </c>
      <c r="B2" s="34">
        <v>1</v>
      </c>
      <c r="C2" s="34" t="s">
        <v>406</v>
      </c>
      <c r="D2" s="34" t="s">
        <v>405</v>
      </c>
      <c r="E2" s="33"/>
      <c r="F2" s="33"/>
      <c r="G2" s="33"/>
      <c r="H2" s="33"/>
      <c r="I2" s="33"/>
      <c r="J2" s="33"/>
      <c r="K2" s="34" t="s">
        <v>407</v>
      </c>
      <c r="L2" s="34" t="s">
        <v>408</v>
      </c>
      <c r="M2" s="34" t="s">
        <v>409</v>
      </c>
      <c r="N2" s="34" t="s">
        <v>36</v>
      </c>
      <c r="O2" s="34" t="s">
        <v>369</v>
      </c>
      <c r="P2" s="35">
        <v>44927</v>
      </c>
      <c r="Q2" s="34" t="s">
        <v>410</v>
      </c>
      <c r="R2" s="34" t="s">
        <v>411</v>
      </c>
      <c r="S2" s="35">
        <v>44927</v>
      </c>
      <c r="T2" s="33"/>
      <c r="U2" s="34" t="s">
        <v>412</v>
      </c>
      <c r="V2" s="34" t="s">
        <v>411</v>
      </c>
      <c r="W2" s="34" t="s">
        <v>353</v>
      </c>
      <c r="X2" s="34" t="s">
        <v>340</v>
      </c>
      <c r="Y2" s="33"/>
      <c r="Z2" s="33"/>
      <c r="AA2" s="33"/>
      <c r="AB2" s="33"/>
    </row>
    <row r="3" spans="1:28" ht="16" thickBot="1">
      <c r="A3" s="34" t="s">
        <v>413</v>
      </c>
      <c r="B3" s="34">
        <v>1</v>
      </c>
      <c r="C3" s="34" t="s">
        <v>414</v>
      </c>
      <c r="D3" s="34" t="s">
        <v>413</v>
      </c>
      <c r="E3" s="34" t="s">
        <v>415</v>
      </c>
      <c r="F3" s="34" t="s">
        <v>416</v>
      </c>
      <c r="G3" s="34" t="s">
        <v>417</v>
      </c>
      <c r="H3" s="34">
        <v>1228818182</v>
      </c>
      <c r="I3" s="34">
        <v>7368361254</v>
      </c>
      <c r="J3" s="34" t="s">
        <v>418</v>
      </c>
      <c r="K3" s="36" t="s">
        <v>419</v>
      </c>
      <c r="L3" s="34" t="s">
        <v>408</v>
      </c>
      <c r="M3" s="34" t="s">
        <v>420</v>
      </c>
      <c r="N3" s="34" t="s">
        <v>421</v>
      </c>
      <c r="O3" s="34" t="s">
        <v>369</v>
      </c>
      <c r="P3" s="35">
        <v>45007</v>
      </c>
      <c r="Q3" s="34" t="s">
        <v>410</v>
      </c>
      <c r="R3" s="34" t="s">
        <v>422</v>
      </c>
      <c r="S3" s="35">
        <v>44999</v>
      </c>
      <c r="T3" s="34">
        <v>203</v>
      </c>
      <c r="U3" s="34" t="s">
        <v>412</v>
      </c>
      <c r="V3" s="34" t="s">
        <v>411</v>
      </c>
      <c r="W3" s="34" t="s">
        <v>423</v>
      </c>
      <c r="X3" s="82" t="s">
        <v>424</v>
      </c>
      <c r="Y3" s="83"/>
      <c r="Z3" s="33"/>
      <c r="AA3" s="33"/>
      <c r="AB3" s="33"/>
    </row>
    <row r="4" spans="1:28" ht="16" thickBot="1">
      <c r="A4" s="34" t="s">
        <v>425</v>
      </c>
      <c r="B4" s="34">
        <v>1</v>
      </c>
      <c r="C4" s="34" t="s">
        <v>426</v>
      </c>
      <c r="D4" s="34" t="s">
        <v>425</v>
      </c>
      <c r="E4" s="34" t="s">
        <v>415</v>
      </c>
      <c r="F4" s="34" t="s">
        <v>427</v>
      </c>
      <c r="G4" s="34" t="s">
        <v>428</v>
      </c>
      <c r="H4" s="34">
        <v>1270342247</v>
      </c>
      <c r="I4" s="34">
        <v>7730582469</v>
      </c>
      <c r="J4" s="34" t="s">
        <v>429</v>
      </c>
      <c r="K4" s="36" t="s">
        <v>430</v>
      </c>
      <c r="L4" s="34" t="s">
        <v>408</v>
      </c>
      <c r="M4" s="34" t="s">
        <v>409</v>
      </c>
      <c r="N4" s="34" t="s">
        <v>13</v>
      </c>
      <c r="O4" s="34" t="s">
        <v>370</v>
      </c>
      <c r="P4" s="35">
        <v>45029</v>
      </c>
      <c r="Q4" s="34" t="s">
        <v>410</v>
      </c>
      <c r="R4" s="34" t="s">
        <v>422</v>
      </c>
      <c r="S4" s="35">
        <v>45016</v>
      </c>
      <c r="T4" s="34">
        <v>204</v>
      </c>
      <c r="U4" s="34" t="s">
        <v>412</v>
      </c>
      <c r="V4" s="34" t="s">
        <v>411</v>
      </c>
      <c r="W4" s="34" t="s">
        <v>353</v>
      </c>
      <c r="X4" s="34" t="s">
        <v>340</v>
      </c>
      <c r="Y4" s="33"/>
      <c r="Z4" s="33"/>
      <c r="AA4" s="33"/>
      <c r="AB4" s="33"/>
    </row>
    <row r="5" spans="1:28" ht="16" thickBot="1">
      <c r="A5" s="34" t="s">
        <v>425</v>
      </c>
      <c r="B5" s="34">
        <v>2</v>
      </c>
      <c r="C5" s="34" t="s">
        <v>426</v>
      </c>
      <c r="D5" s="34" t="s">
        <v>425</v>
      </c>
      <c r="E5" s="34" t="s">
        <v>415</v>
      </c>
      <c r="F5" s="34" t="s">
        <v>427</v>
      </c>
      <c r="G5" s="34" t="s">
        <v>428</v>
      </c>
      <c r="H5" s="34">
        <v>1270342247</v>
      </c>
      <c r="I5" s="34">
        <v>7730582469</v>
      </c>
      <c r="J5" s="34" t="s">
        <v>429</v>
      </c>
      <c r="K5" s="36" t="s">
        <v>430</v>
      </c>
      <c r="L5" s="34" t="s">
        <v>408</v>
      </c>
      <c r="M5" s="34" t="s">
        <v>420</v>
      </c>
      <c r="N5" s="34" t="s">
        <v>431</v>
      </c>
      <c r="O5" s="34" t="s">
        <v>369</v>
      </c>
      <c r="P5" s="35">
        <v>45029</v>
      </c>
      <c r="Q5" s="34" t="s">
        <v>432</v>
      </c>
      <c r="R5" s="34" t="s">
        <v>422</v>
      </c>
      <c r="S5" s="35">
        <v>45016</v>
      </c>
      <c r="T5" s="34">
        <v>204</v>
      </c>
      <c r="U5" s="34" t="s">
        <v>412</v>
      </c>
      <c r="V5" s="34" t="s">
        <v>411</v>
      </c>
      <c r="W5" s="34" t="s">
        <v>423</v>
      </c>
      <c r="X5" s="82" t="s">
        <v>424</v>
      </c>
      <c r="Y5" s="83"/>
      <c r="Z5" s="33"/>
      <c r="AA5" s="33"/>
      <c r="AB5" s="33"/>
    </row>
    <row r="6" spans="1:28" ht="16" thickBot="1">
      <c r="A6" s="34" t="s">
        <v>433</v>
      </c>
      <c r="B6" s="34">
        <v>1</v>
      </c>
      <c r="C6" s="34" t="s">
        <v>434</v>
      </c>
      <c r="D6" s="34" t="s">
        <v>433</v>
      </c>
      <c r="E6" s="34" t="s">
        <v>415</v>
      </c>
      <c r="F6" s="34" t="s">
        <v>435</v>
      </c>
      <c r="G6" s="34" t="s">
        <v>428</v>
      </c>
      <c r="H6" s="34">
        <v>2086705042</v>
      </c>
      <c r="I6" s="34">
        <v>7986003426</v>
      </c>
      <c r="J6" s="34" t="s">
        <v>436</v>
      </c>
      <c r="K6" s="36" t="s">
        <v>437</v>
      </c>
      <c r="L6" s="34" t="s">
        <v>408</v>
      </c>
      <c r="M6" s="34" t="s">
        <v>420</v>
      </c>
      <c r="N6" s="34" t="s">
        <v>421</v>
      </c>
      <c r="O6" s="34" t="s">
        <v>438</v>
      </c>
      <c r="P6" s="35">
        <v>45048</v>
      </c>
      <c r="Q6" s="34" t="s">
        <v>410</v>
      </c>
      <c r="R6" s="34" t="s">
        <v>422</v>
      </c>
      <c r="S6" s="35">
        <v>45035</v>
      </c>
      <c r="T6" s="34">
        <v>252</v>
      </c>
      <c r="U6" s="34" t="s">
        <v>412</v>
      </c>
      <c r="V6" s="34" t="s">
        <v>411</v>
      </c>
      <c r="W6" s="34" t="s">
        <v>423</v>
      </c>
      <c r="X6" s="82" t="s">
        <v>424</v>
      </c>
      <c r="Y6" s="83"/>
      <c r="Z6" s="33"/>
      <c r="AA6" s="33"/>
      <c r="AB6" s="33"/>
    </row>
    <row r="7" spans="1:28" ht="16" thickBot="1">
      <c r="A7" s="34" t="s">
        <v>439</v>
      </c>
      <c r="B7" s="34">
        <v>1</v>
      </c>
      <c r="C7" s="34" t="s">
        <v>440</v>
      </c>
      <c r="D7" s="34" t="s">
        <v>441</v>
      </c>
      <c r="E7" s="34" t="s">
        <v>415</v>
      </c>
      <c r="F7" s="34" t="s">
        <v>442</v>
      </c>
      <c r="G7" s="34" t="s">
        <v>428</v>
      </c>
      <c r="H7" s="33"/>
      <c r="I7" s="34">
        <v>7774831154</v>
      </c>
      <c r="J7" s="34" t="s">
        <v>443</v>
      </c>
      <c r="K7" s="34" t="s">
        <v>407</v>
      </c>
      <c r="L7" s="34" t="s">
        <v>408</v>
      </c>
      <c r="M7" s="34" t="s">
        <v>409</v>
      </c>
      <c r="N7" s="34" t="s">
        <v>13</v>
      </c>
      <c r="O7" s="34" t="s">
        <v>364</v>
      </c>
      <c r="P7" s="35">
        <v>45083</v>
      </c>
      <c r="Q7" s="34" t="s">
        <v>410</v>
      </c>
      <c r="R7" s="34" t="s">
        <v>422</v>
      </c>
      <c r="S7" s="35">
        <v>45254</v>
      </c>
      <c r="T7" s="34">
        <v>351</v>
      </c>
      <c r="U7" s="34" t="s">
        <v>412</v>
      </c>
      <c r="V7" s="34" t="s">
        <v>411</v>
      </c>
      <c r="W7" s="34" t="s">
        <v>353</v>
      </c>
      <c r="X7" s="34" t="s">
        <v>340</v>
      </c>
      <c r="Y7" s="33"/>
      <c r="Z7" s="33"/>
      <c r="AA7" s="33"/>
      <c r="AB7" s="33"/>
    </row>
    <row r="8" spans="1:28" ht="16" thickBot="1">
      <c r="A8" s="34" t="s">
        <v>444</v>
      </c>
      <c r="B8" s="34">
        <v>1</v>
      </c>
      <c r="C8" s="34" t="s">
        <v>445</v>
      </c>
      <c r="D8" s="34" t="s">
        <v>444</v>
      </c>
      <c r="E8" s="34" t="s">
        <v>415</v>
      </c>
      <c r="F8" s="34" t="s">
        <v>446</v>
      </c>
      <c r="G8" s="34" t="s">
        <v>428</v>
      </c>
      <c r="H8" s="34">
        <v>1494484333</v>
      </c>
      <c r="I8" s="34">
        <v>7971863682</v>
      </c>
      <c r="J8" s="34" t="s">
        <v>447</v>
      </c>
      <c r="K8" s="36" t="s">
        <v>448</v>
      </c>
      <c r="L8" s="34" t="s">
        <v>408</v>
      </c>
      <c r="M8" s="34" t="s">
        <v>409</v>
      </c>
      <c r="N8" s="34" t="s">
        <v>13</v>
      </c>
      <c r="O8" s="34" t="s">
        <v>370</v>
      </c>
      <c r="P8" s="35">
        <v>45106</v>
      </c>
      <c r="Q8" s="34" t="s">
        <v>410</v>
      </c>
      <c r="R8" s="34" t="s">
        <v>422</v>
      </c>
      <c r="S8" s="35">
        <v>45069</v>
      </c>
      <c r="T8" s="34">
        <v>205</v>
      </c>
      <c r="U8" s="34" t="s">
        <v>412</v>
      </c>
      <c r="V8" s="34" t="s">
        <v>411</v>
      </c>
      <c r="W8" s="34" t="s">
        <v>353</v>
      </c>
      <c r="X8" s="34" t="s">
        <v>340</v>
      </c>
      <c r="Y8" s="33"/>
      <c r="Z8" s="33"/>
      <c r="AA8" s="33"/>
      <c r="AB8" s="33"/>
    </row>
    <row r="9" spans="1:28" ht="16" thickBot="1">
      <c r="A9" s="34" t="s">
        <v>444</v>
      </c>
      <c r="B9" s="34">
        <v>2</v>
      </c>
      <c r="C9" s="34" t="s">
        <v>445</v>
      </c>
      <c r="D9" s="34" t="s">
        <v>444</v>
      </c>
      <c r="E9" s="34" t="s">
        <v>415</v>
      </c>
      <c r="F9" s="34" t="s">
        <v>446</v>
      </c>
      <c r="G9" s="34" t="s">
        <v>428</v>
      </c>
      <c r="H9" s="34">
        <v>1494484333</v>
      </c>
      <c r="I9" s="34">
        <v>7971863682</v>
      </c>
      <c r="J9" s="34" t="s">
        <v>447</v>
      </c>
      <c r="K9" s="36" t="s">
        <v>448</v>
      </c>
      <c r="L9" s="34" t="s">
        <v>408</v>
      </c>
      <c r="M9" s="34" t="s">
        <v>420</v>
      </c>
      <c r="N9" s="34" t="s">
        <v>431</v>
      </c>
      <c r="O9" s="34" t="s">
        <v>369</v>
      </c>
      <c r="P9" s="35">
        <v>45106</v>
      </c>
      <c r="Q9" s="34" t="s">
        <v>432</v>
      </c>
      <c r="R9" s="34" t="s">
        <v>422</v>
      </c>
      <c r="S9" s="35">
        <v>45069</v>
      </c>
      <c r="T9" s="34">
        <v>205</v>
      </c>
      <c r="U9" s="34" t="s">
        <v>412</v>
      </c>
      <c r="V9" s="34" t="s">
        <v>411</v>
      </c>
      <c r="W9" s="34" t="s">
        <v>423</v>
      </c>
      <c r="X9" s="82" t="s">
        <v>424</v>
      </c>
      <c r="Y9" s="83"/>
      <c r="Z9" s="33"/>
      <c r="AA9" s="33"/>
      <c r="AB9" s="33"/>
    </row>
    <row r="10" spans="1:28" ht="16" thickBot="1">
      <c r="A10" s="34" t="s">
        <v>449</v>
      </c>
      <c r="B10" s="34">
        <v>1</v>
      </c>
      <c r="C10" s="34" t="s">
        <v>450</v>
      </c>
      <c r="D10" s="34" t="s">
        <v>449</v>
      </c>
      <c r="E10" s="34" t="s">
        <v>415</v>
      </c>
      <c r="F10" s="34" t="s">
        <v>451</v>
      </c>
      <c r="G10" s="34" t="s">
        <v>417</v>
      </c>
      <c r="H10" s="34">
        <v>2086532751</v>
      </c>
      <c r="I10" s="34">
        <v>7947000568</v>
      </c>
      <c r="J10" s="34" t="s">
        <v>452</v>
      </c>
      <c r="K10" s="36" t="s">
        <v>453</v>
      </c>
      <c r="L10" s="34" t="s">
        <v>408</v>
      </c>
      <c r="M10" s="34" t="s">
        <v>409</v>
      </c>
      <c r="N10" s="34" t="s">
        <v>13</v>
      </c>
      <c r="O10" s="34" t="s">
        <v>370</v>
      </c>
      <c r="P10" s="35">
        <v>45112</v>
      </c>
      <c r="Q10" s="34" t="s">
        <v>410</v>
      </c>
      <c r="R10" s="34" t="s">
        <v>422</v>
      </c>
      <c r="S10" s="35">
        <v>45110</v>
      </c>
      <c r="T10" s="34">
        <v>207</v>
      </c>
      <c r="U10" s="34" t="s">
        <v>412</v>
      </c>
      <c r="V10" s="34" t="s">
        <v>422</v>
      </c>
      <c r="W10" s="34" t="s">
        <v>353</v>
      </c>
      <c r="X10" s="34" t="s">
        <v>340</v>
      </c>
      <c r="Y10" s="33"/>
      <c r="Z10" s="33"/>
      <c r="AA10" s="33"/>
      <c r="AB10" s="33"/>
    </row>
    <row r="11" spans="1:28" ht="16" thickBot="1">
      <c r="A11" s="34" t="s">
        <v>454</v>
      </c>
      <c r="B11" s="34">
        <v>1</v>
      </c>
      <c r="C11" s="34" t="s">
        <v>455</v>
      </c>
      <c r="D11" s="34" t="s">
        <v>454</v>
      </c>
      <c r="E11" s="34" t="s">
        <v>415</v>
      </c>
      <c r="F11" s="34" t="s">
        <v>456</v>
      </c>
      <c r="G11" s="34" t="s">
        <v>428</v>
      </c>
      <c r="H11" s="33"/>
      <c r="I11" s="34">
        <v>7722242035</v>
      </c>
      <c r="J11" s="34" t="s">
        <v>457</v>
      </c>
      <c r="K11" s="36" t="s">
        <v>458</v>
      </c>
      <c r="L11" s="34" t="s">
        <v>408</v>
      </c>
      <c r="M11" s="34" t="s">
        <v>409</v>
      </c>
      <c r="N11" s="34" t="s">
        <v>36</v>
      </c>
      <c r="O11" s="34" t="s">
        <v>370</v>
      </c>
      <c r="P11" s="35">
        <v>45149</v>
      </c>
      <c r="Q11" s="34" t="s">
        <v>410</v>
      </c>
      <c r="R11" s="34" t="s">
        <v>422</v>
      </c>
      <c r="S11" s="35">
        <v>45161</v>
      </c>
      <c r="T11" s="34">
        <v>31</v>
      </c>
      <c r="U11" s="34" t="s">
        <v>412</v>
      </c>
      <c r="V11" s="34" t="s">
        <v>422</v>
      </c>
      <c r="W11" s="34" t="s">
        <v>353</v>
      </c>
      <c r="X11" s="34" t="s">
        <v>340</v>
      </c>
      <c r="Y11" s="33"/>
      <c r="Z11" s="33"/>
      <c r="AA11" s="33"/>
      <c r="AB11" s="33"/>
    </row>
    <row r="12" spans="1:28" ht="16" thickBot="1">
      <c r="A12" s="34" t="s">
        <v>459</v>
      </c>
      <c r="B12" s="34">
        <v>1</v>
      </c>
      <c r="C12" s="34" t="s">
        <v>460</v>
      </c>
      <c r="D12" s="34" t="s">
        <v>459</v>
      </c>
      <c r="E12" s="34" t="s">
        <v>415</v>
      </c>
      <c r="F12" s="34" t="s">
        <v>461</v>
      </c>
      <c r="G12" s="34" t="s">
        <v>417</v>
      </c>
      <c r="H12" s="34">
        <v>1297442222</v>
      </c>
      <c r="I12" s="34">
        <v>7801996414</v>
      </c>
      <c r="J12" s="34" t="s">
        <v>462</v>
      </c>
      <c r="K12" s="36" t="s">
        <v>463</v>
      </c>
      <c r="L12" s="34" t="s">
        <v>408</v>
      </c>
      <c r="M12" s="34" t="s">
        <v>409</v>
      </c>
      <c r="N12" s="34" t="s">
        <v>13</v>
      </c>
      <c r="O12" s="34" t="s">
        <v>369</v>
      </c>
      <c r="P12" s="35">
        <v>45166</v>
      </c>
      <c r="Q12" s="34" t="s">
        <v>410</v>
      </c>
      <c r="R12" s="34" t="s">
        <v>422</v>
      </c>
      <c r="S12" s="35">
        <v>45161</v>
      </c>
      <c r="T12" s="34">
        <v>28</v>
      </c>
      <c r="U12" s="34" t="s">
        <v>412</v>
      </c>
      <c r="V12" s="34" t="s">
        <v>411</v>
      </c>
      <c r="W12" s="34" t="s">
        <v>353</v>
      </c>
      <c r="X12" s="34" t="s">
        <v>340</v>
      </c>
      <c r="Y12" s="33"/>
      <c r="Z12" s="33"/>
      <c r="AA12" s="33"/>
      <c r="AB12" s="33"/>
    </row>
    <row r="13" spans="1:28" ht="16" thickBot="1">
      <c r="A13" s="34" t="s">
        <v>464</v>
      </c>
      <c r="B13" s="34">
        <v>1</v>
      </c>
      <c r="C13" s="34" t="s">
        <v>465</v>
      </c>
      <c r="D13" s="34" t="s">
        <v>466</v>
      </c>
      <c r="E13" s="34" t="s">
        <v>415</v>
      </c>
      <c r="F13" s="34" t="s">
        <v>467</v>
      </c>
      <c r="G13" s="34" t="s">
        <v>468</v>
      </c>
      <c r="H13" s="34">
        <v>1327703841</v>
      </c>
      <c r="I13" s="34">
        <v>7876366810</v>
      </c>
      <c r="J13" s="34" t="s">
        <v>469</v>
      </c>
      <c r="K13" s="36" t="s">
        <v>470</v>
      </c>
      <c r="L13" s="34" t="s">
        <v>408</v>
      </c>
      <c r="M13" s="34" t="s">
        <v>409</v>
      </c>
      <c r="N13" s="34" t="s">
        <v>19</v>
      </c>
      <c r="O13" s="34" t="s">
        <v>364</v>
      </c>
      <c r="P13" s="35">
        <v>45177</v>
      </c>
      <c r="Q13" s="34" t="s">
        <v>410</v>
      </c>
      <c r="R13" s="34" t="s">
        <v>422</v>
      </c>
      <c r="S13" s="35">
        <v>45078</v>
      </c>
      <c r="T13" s="34">
        <v>253</v>
      </c>
      <c r="U13" s="34" t="s">
        <v>412</v>
      </c>
      <c r="V13" s="34" t="s">
        <v>422</v>
      </c>
      <c r="W13" s="34" t="s">
        <v>353</v>
      </c>
      <c r="X13" s="34" t="s">
        <v>340</v>
      </c>
      <c r="Y13" s="33"/>
      <c r="Z13" s="33"/>
      <c r="AA13" s="33"/>
      <c r="AB13" s="33"/>
    </row>
    <row r="14" spans="1:28" ht="16" thickBot="1">
      <c r="A14" s="34" t="s">
        <v>471</v>
      </c>
      <c r="B14" s="34">
        <v>1</v>
      </c>
      <c r="C14" s="34" t="s">
        <v>455</v>
      </c>
      <c r="D14" s="34" t="s">
        <v>471</v>
      </c>
      <c r="E14" s="34" t="s">
        <v>415</v>
      </c>
      <c r="F14" s="34" t="s">
        <v>472</v>
      </c>
      <c r="G14" s="34" t="s">
        <v>417</v>
      </c>
      <c r="H14" s="34">
        <v>1277532991</v>
      </c>
      <c r="I14" s="34">
        <v>7545307419</v>
      </c>
      <c r="J14" s="34" t="s">
        <v>473</v>
      </c>
      <c r="K14" s="36" t="s">
        <v>474</v>
      </c>
      <c r="L14" s="34" t="s">
        <v>408</v>
      </c>
      <c r="M14" s="34" t="s">
        <v>420</v>
      </c>
      <c r="N14" s="34" t="s">
        <v>431</v>
      </c>
      <c r="O14" s="34" t="s">
        <v>475</v>
      </c>
      <c r="P14" s="35">
        <v>45196</v>
      </c>
      <c r="Q14" s="34" t="s">
        <v>410</v>
      </c>
      <c r="R14" s="34" t="s">
        <v>422</v>
      </c>
      <c r="S14" s="35">
        <v>45197</v>
      </c>
      <c r="T14" s="34">
        <v>18</v>
      </c>
      <c r="U14" s="34" t="s">
        <v>412</v>
      </c>
      <c r="V14" s="34" t="s">
        <v>411</v>
      </c>
      <c r="W14" s="34" t="s">
        <v>423</v>
      </c>
      <c r="X14" s="82" t="s">
        <v>424</v>
      </c>
      <c r="Y14" s="83"/>
      <c r="Z14" s="33"/>
      <c r="AA14" s="33"/>
      <c r="AB14" s="33"/>
    </row>
    <row r="15" spans="1:28" ht="16" thickBot="1">
      <c r="A15" s="34" t="s">
        <v>476</v>
      </c>
      <c r="B15" s="34">
        <v>1</v>
      </c>
      <c r="C15" s="34" t="s">
        <v>477</v>
      </c>
      <c r="D15" s="34" t="s">
        <v>476</v>
      </c>
      <c r="E15" s="34" t="s">
        <v>478</v>
      </c>
      <c r="F15" s="34" t="s">
        <v>479</v>
      </c>
      <c r="G15" s="34" t="s">
        <v>417</v>
      </c>
      <c r="H15" s="34">
        <v>1273727278</v>
      </c>
      <c r="I15" s="33"/>
      <c r="J15" s="34" t="s">
        <v>480</v>
      </c>
      <c r="K15" s="36" t="s">
        <v>481</v>
      </c>
      <c r="L15" s="34" t="s">
        <v>408</v>
      </c>
      <c r="M15" s="34" t="s">
        <v>420</v>
      </c>
      <c r="N15" s="34" t="s">
        <v>431</v>
      </c>
      <c r="O15" s="34" t="s">
        <v>364</v>
      </c>
      <c r="P15" s="35">
        <v>45197</v>
      </c>
      <c r="Q15" s="34" t="s">
        <v>410</v>
      </c>
      <c r="R15" s="34" t="s">
        <v>422</v>
      </c>
      <c r="S15" s="35">
        <v>45098</v>
      </c>
      <c r="T15" s="34">
        <v>115</v>
      </c>
      <c r="U15" s="34" t="s">
        <v>412</v>
      </c>
      <c r="V15" s="34" t="s">
        <v>411</v>
      </c>
      <c r="W15" s="34" t="s">
        <v>423</v>
      </c>
      <c r="X15" s="82" t="s">
        <v>424</v>
      </c>
      <c r="Y15" s="83"/>
      <c r="Z15" s="33"/>
      <c r="AA15" s="33"/>
      <c r="AB15" s="33"/>
    </row>
    <row r="16" spans="1:28" ht="16" thickBot="1">
      <c r="A16" s="34" t="s">
        <v>482</v>
      </c>
      <c r="B16" s="34">
        <v>1</v>
      </c>
      <c r="C16" s="34" t="s">
        <v>460</v>
      </c>
      <c r="D16" s="34" t="s">
        <v>483</v>
      </c>
      <c r="E16" s="34" t="s">
        <v>415</v>
      </c>
      <c r="F16" s="34" t="s">
        <v>484</v>
      </c>
      <c r="G16" s="34" t="s">
        <v>428</v>
      </c>
      <c r="H16" s="34">
        <v>1525464646</v>
      </c>
      <c r="I16" s="34">
        <v>7846373112</v>
      </c>
      <c r="J16" s="34" t="s">
        <v>485</v>
      </c>
      <c r="K16" s="36" t="s">
        <v>486</v>
      </c>
      <c r="L16" s="34" t="s">
        <v>408</v>
      </c>
      <c r="M16" s="34" t="s">
        <v>409</v>
      </c>
      <c r="N16" s="34" t="s">
        <v>13</v>
      </c>
      <c r="O16" s="34" t="s">
        <v>370</v>
      </c>
      <c r="P16" s="35">
        <v>45209</v>
      </c>
      <c r="Q16" s="34" t="s">
        <v>410</v>
      </c>
      <c r="R16" s="34" t="s">
        <v>422</v>
      </c>
      <c r="S16" s="35">
        <v>45264</v>
      </c>
      <c r="T16" s="34">
        <v>137</v>
      </c>
      <c r="U16" s="34" t="s">
        <v>412</v>
      </c>
      <c r="V16" s="34" t="s">
        <v>411</v>
      </c>
      <c r="W16" s="34" t="s">
        <v>353</v>
      </c>
      <c r="X16" s="34" t="s">
        <v>340</v>
      </c>
      <c r="Y16" s="33"/>
      <c r="Z16" s="33"/>
      <c r="AA16" s="33"/>
      <c r="AB16" s="33"/>
    </row>
    <row r="17" spans="1:28" ht="16" thickBot="1">
      <c r="A17" s="34" t="s">
        <v>487</v>
      </c>
      <c r="B17" s="34">
        <v>1</v>
      </c>
      <c r="C17" s="34" t="s">
        <v>426</v>
      </c>
      <c r="D17" s="34" t="s">
        <v>487</v>
      </c>
      <c r="E17" s="34" t="s">
        <v>415</v>
      </c>
      <c r="F17" s="34" t="s">
        <v>488</v>
      </c>
      <c r="G17" s="34" t="s">
        <v>417</v>
      </c>
      <c r="H17" s="34">
        <v>140443366</v>
      </c>
      <c r="I17" s="34">
        <v>140443366</v>
      </c>
      <c r="J17" s="34" t="s">
        <v>489</v>
      </c>
      <c r="K17" s="36" t="s">
        <v>490</v>
      </c>
      <c r="L17" s="34" t="s">
        <v>408</v>
      </c>
      <c r="M17" s="34" t="s">
        <v>409</v>
      </c>
      <c r="N17" s="34" t="s">
        <v>13</v>
      </c>
      <c r="O17" s="34" t="s">
        <v>369</v>
      </c>
      <c r="P17" s="35">
        <v>45215</v>
      </c>
      <c r="Q17" s="34" t="s">
        <v>410</v>
      </c>
      <c r="R17" s="34" t="s">
        <v>422</v>
      </c>
      <c r="S17" s="35">
        <v>45215</v>
      </c>
      <c r="T17" s="34">
        <v>117</v>
      </c>
      <c r="U17" s="34" t="s">
        <v>412</v>
      </c>
      <c r="V17" s="34" t="s">
        <v>411</v>
      </c>
      <c r="W17" s="34" t="s">
        <v>353</v>
      </c>
      <c r="X17" s="34" t="s">
        <v>340</v>
      </c>
      <c r="Y17" s="33"/>
      <c r="Z17" s="33"/>
      <c r="AA17" s="33"/>
      <c r="AB17" s="33"/>
    </row>
    <row r="18" spans="1:28" ht="16" thickBot="1">
      <c r="A18" s="34" t="s">
        <v>491</v>
      </c>
      <c r="B18" s="34">
        <v>1</v>
      </c>
      <c r="C18" s="34" t="s">
        <v>492</v>
      </c>
      <c r="D18" s="34" t="s">
        <v>493</v>
      </c>
      <c r="E18" s="34" t="s">
        <v>415</v>
      </c>
      <c r="F18" s="34" t="s">
        <v>494</v>
      </c>
      <c r="G18" s="34" t="s">
        <v>428</v>
      </c>
      <c r="H18" s="33"/>
      <c r="I18" s="34">
        <v>7824345308</v>
      </c>
      <c r="J18" s="34" t="s">
        <v>495</v>
      </c>
      <c r="K18" s="36" t="s">
        <v>496</v>
      </c>
      <c r="L18" s="34" t="s">
        <v>408</v>
      </c>
      <c r="M18" s="34" t="s">
        <v>409</v>
      </c>
      <c r="N18" s="34" t="s">
        <v>13</v>
      </c>
      <c r="O18" s="34" t="s">
        <v>497</v>
      </c>
      <c r="P18" s="35">
        <v>45222</v>
      </c>
      <c r="Q18" s="34" t="s">
        <v>410</v>
      </c>
      <c r="R18" s="34" t="s">
        <v>411</v>
      </c>
      <c r="S18" s="35">
        <v>45296</v>
      </c>
      <c r="T18" s="34">
        <v>126</v>
      </c>
      <c r="U18" s="34" t="s">
        <v>412</v>
      </c>
      <c r="V18" s="34" t="s">
        <v>411</v>
      </c>
      <c r="W18" s="34" t="s">
        <v>353</v>
      </c>
      <c r="X18" s="34" t="s">
        <v>340</v>
      </c>
      <c r="Y18" s="33"/>
      <c r="Z18" s="33"/>
      <c r="AA18" s="33"/>
      <c r="AB18" s="33"/>
    </row>
    <row r="19" spans="1:28" ht="16" thickBot="1">
      <c r="A19" s="34" t="s">
        <v>491</v>
      </c>
      <c r="B19" s="34">
        <v>2</v>
      </c>
      <c r="C19" s="34" t="s">
        <v>492</v>
      </c>
      <c r="D19" s="34" t="s">
        <v>493</v>
      </c>
      <c r="E19" s="34" t="s">
        <v>415</v>
      </c>
      <c r="F19" s="34" t="s">
        <v>494</v>
      </c>
      <c r="G19" s="34" t="s">
        <v>428</v>
      </c>
      <c r="H19" s="33"/>
      <c r="I19" s="34">
        <v>7824345308</v>
      </c>
      <c r="J19" s="34" t="s">
        <v>495</v>
      </c>
      <c r="K19" s="36" t="s">
        <v>496</v>
      </c>
      <c r="L19" s="34" t="s">
        <v>408</v>
      </c>
      <c r="M19" s="34" t="s">
        <v>420</v>
      </c>
      <c r="N19" s="34" t="s">
        <v>431</v>
      </c>
      <c r="O19" s="34" t="s">
        <v>498</v>
      </c>
      <c r="P19" s="35">
        <v>45222</v>
      </c>
      <c r="Q19" s="34" t="s">
        <v>432</v>
      </c>
      <c r="R19" s="34" t="s">
        <v>422</v>
      </c>
      <c r="S19" s="35">
        <v>45296</v>
      </c>
      <c r="T19" s="34">
        <v>126</v>
      </c>
      <c r="U19" s="34" t="s">
        <v>412</v>
      </c>
      <c r="V19" s="34" t="s">
        <v>411</v>
      </c>
      <c r="W19" s="34" t="s">
        <v>423</v>
      </c>
      <c r="X19" s="82" t="s">
        <v>424</v>
      </c>
      <c r="Y19" s="83"/>
      <c r="Z19" s="33"/>
      <c r="AA19" s="33"/>
      <c r="AB19" s="33"/>
    </row>
    <row r="20" spans="1:28" ht="16" thickBot="1">
      <c r="A20" s="34" t="s">
        <v>499</v>
      </c>
      <c r="B20" s="34">
        <v>1</v>
      </c>
      <c r="C20" s="34" t="s">
        <v>500</v>
      </c>
      <c r="D20" s="34" t="s">
        <v>501</v>
      </c>
      <c r="E20" s="34" t="s">
        <v>415</v>
      </c>
      <c r="F20" s="34" t="s">
        <v>502</v>
      </c>
      <c r="G20" s="34" t="s">
        <v>428</v>
      </c>
      <c r="H20" s="33"/>
      <c r="I20" s="34">
        <v>7961161810</v>
      </c>
      <c r="J20" s="34" t="s">
        <v>503</v>
      </c>
      <c r="K20" s="36" t="s">
        <v>504</v>
      </c>
      <c r="L20" s="34" t="s">
        <v>408</v>
      </c>
      <c r="M20" s="34" t="s">
        <v>409</v>
      </c>
      <c r="N20" s="34" t="s">
        <v>36</v>
      </c>
      <c r="O20" s="34" t="s">
        <v>505</v>
      </c>
      <c r="P20" s="35">
        <v>45223</v>
      </c>
      <c r="Q20" s="34" t="s">
        <v>410</v>
      </c>
      <c r="R20" s="34" t="s">
        <v>422</v>
      </c>
      <c r="S20" s="35">
        <v>45223</v>
      </c>
      <c r="T20" s="34">
        <v>92</v>
      </c>
      <c r="U20" s="34" t="s">
        <v>412</v>
      </c>
      <c r="V20" s="34" t="s">
        <v>411</v>
      </c>
      <c r="W20" s="34" t="s">
        <v>353</v>
      </c>
      <c r="X20" s="34" t="s">
        <v>340</v>
      </c>
      <c r="Y20" s="33"/>
      <c r="Z20" s="33"/>
      <c r="AA20" s="33"/>
      <c r="AB20" s="33"/>
    </row>
    <row r="21" spans="1:28" ht="16" thickBot="1">
      <c r="A21" s="34" t="s">
        <v>506</v>
      </c>
      <c r="B21" s="34">
        <v>1</v>
      </c>
      <c r="C21" s="34" t="s">
        <v>507</v>
      </c>
      <c r="D21" s="34" t="s">
        <v>508</v>
      </c>
      <c r="E21" s="34" t="s">
        <v>415</v>
      </c>
      <c r="F21" s="34" t="s">
        <v>509</v>
      </c>
      <c r="G21" s="34" t="s">
        <v>428</v>
      </c>
      <c r="H21" s="34">
        <v>1865600067</v>
      </c>
      <c r="I21" s="33"/>
      <c r="J21" s="34" t="s">
        <v>510</v>
      </c>
      <c r="K21" s="36" t="s">
        <v>511</v>
      </c>
      <c r="L21" s="34" t="s">
        <v>408</v>
      </c>
      <c r="M21" s="34" t="s">
        <v>409</v>
      </c>
      <c r="N21" s="34" t="s">
        <v>13</v>
      </c>
      <c r="O21" s="34" t="s">
        <v>370</v>
      </c>
      <c r="P21" s="35">
        <v>45224</v>
      </c>
      <c r="Q21" s="34" t="s">
        <v>410</v>
      </c>
      <c r="R21" s="34" t="s">
        <v>422</v>
      </c>
      <c r="S21" s="35">
        <v>45566</v>
      </c>
      <c r="T21" s="33"/>
      <c r="U21" s="34" t="s">
        <v>412</v>
      </c>
      <c r="V21" s="34" t="s">
        <v>411</v>
      </c>
      <c r="W21" s="34" t="s">
        <v>353</v>
      </c>
      <c r="X21" s="34" t="s">
        <v>340</v>
      </c>
      <c r="Y21" s="33"/>
      <c r="Z21" s="33"/>
      <c r="AA21" s="33"/>
      <c r="AB21" s="33"/>
    </row>
    <row r="22" spans="1:28" ht="16" thickBot="1">
      <c r="A22" s="34" t="s">
        <v>512</v>
      </c>
      <c r="B22" s="34">
        <v>1</v>
      </c>
      <c r="C22" s="34" t="s">
        <v>513</v>
      </c>
      <c r="D22" s="34" t="s">
        <v>514</v>
      </c>
      <c r="E22" s="34" t="s">
        <v>415</v>
      </c>
      <c r="F22" s="34" t="s">
        <v>515</v>
      </c>
      <c r="G22" s="33"/>
      <c r="H22" s="33"/>
      <c r="I22" s="34">
        <v>7447907544</v>
      </c>
      <c r="J22" s="34" t="s">
        <v>516</v>
      </c>
      <c r="K22" s="34" t="s">
        <v>407</v>
      </c>
      <c r="L22" s="34" t="s">
        <v>408</v>
      </c>
      <c r="M22" s="34" t="s">
        <v>409</v>
      </c>
      <c r="N22" s="34" t="s">
        <v>36</v>
      </c>
      <c r="O22" s="34" t="s">
        <v>517</v>
      </c>
      <c r="P22" s="35">
        <v>45245</v>
      </c>
      <c r="Q22" s="34" t="s">
        <v>410</v>
      </c>
      <c r="R22" s="34" t="s">
        <v>422</v>
      </c>
      <c r="S22" s="35">
        <v>45566</v>
      </c>
      <c r="T22" s="34" t="s">
        <v>518</v>
      </c>
      <c r="U22" s="34" t="s">
        <v>412</v>
      </c>
      <c r="V22" s="34" t="s">
        <v>519</v>
      </c>
      <c r="W22" s="34" t="s">
        <v>353</v>
      </c>
      <c r="X22" s="34" t="s">
        <v>340</v>
      </c>
      <c r="Y22" s="33"/>
      <c r="Z22" s="33"/>
      <c r="AA22" s="33"/>
      <c r="AB22" s="33"/>
    </row>
    <row r="23" spans="1:28" ht="16" thickBot="1">
      <c r="A23" s="34" t="s">
        <v>520</v>
      </c>
      <c r="B23" s="34">
        <v>1</v>
      </c>
      <c r="C23" s="34" t="s">
        <v>521</v>
      </c>
      <c r="D23" s="34" t="s">
        <v>522</v>
      </c>
      <c r="E23" s="34" t="s">
        <v>415</v>
      </c>
      <c r="F23" s="34" t="s">
        <v>523</v>
      </c>
      <c r="G23" s="34" t="s">
        <v>428</v>
      </c>
      <c r="H23" s="33"/>
      <c r="I23" s="34">
        <v>7429540950</v>
      </c>
      <c r="J23" s="34" t="s">
        <v>524</v>
      </c>
      <c r="K23" s="36" t="s">
        <v>525</v>
      </c>
      <c r="L23" s="34" t="s">
        <v>408</v>
      </c>
      <c r="M23" s="34" t="s">
        <v>409</v>
      </c>
      <c r="N23" s="34" t="s">
        <v>13</v>
      </c>
      <c r="O23" s="34" t="s">
        <v>369</v>
      </c>
      <c r="P23" s="35">
        <v>45250</v>
      </c>
      <c r="Q23" s="34" t="s">
        <v>410</v>
      </c>
      <c r="R23" s="34" t="s">
        <v>422</v>
      </c>
      <c r="S23" s="35">
        <v>45566</v>
      </c>
      <c r="T23" s="34" t="s">
        <v>526</v>
      </c>
      <c r="U23" s="34" t="s">
        <v>412</v>
      </c>
      <c r="V23" s="34" t="s">
        <v>411</v>
      </c>
      <c r="W23" s="34" t="s">
        <v>353</v>
      </c>
      <c r="X23" s="34" t="s">
        <v>340</v>
      </c>
      <c r="Y23" s="33"/>
      <c r="Z23" s="33"/>
      <c r="AA23" s="33"/>
      <c r="AB23" s="33"/>
    </row>
    <row r="24" spans="1:28" ht="16" thickBot="1">
      <c r="A24" s="34" t="s">
        <v>527</v>
      </c>
      <c r="B24" s="34">
        <v>1</v>
      </c>
      <c r="C24" s="34" t="s">
        <v>455</v>
      </c>
      <c r="D24" s="34" t="s">
        <v>528</v>
      </c>
      <c r="E24" s="34" t="s">
        <v>415</v>
      </c>
      <c r="F24" s="34" t="s">
        <v>529</v>
      </c>
      <c r="G24" s="34" t="s">
        <v>428</v>
      </c>
      <c r="H24" s="33"/>
      <c r="I24" s="34">
        <v>7976762990</v>
      </c>
      <c r="J24" s="34" t="s">
        <v>530</v>
      </c>
      <c r="K24" s="36" t="s">
        <v>531</v>
      </c>
      <c r="L24" s="34" t="s">
        <v>408</v>
      </c>
      <c r="M24" s="34" t="s">
        <v>409</v>
      </c>
      <c r="N24" s="34" t="s">
        <v>13</v>
      </c>
      <c r="O24" s="34" t="s">
        <v>369</v>
      </c>
      <c r="P24" s="35">
        <v>45259</v>
      </c>
      <c r="Q24" s="34" t="s">
        <v>410</v>
      </c>
      <c r="R24" s="34" t="s">
        <v>422</v>
      </c>
      <c r="S24" s="35">
        <v>45566</v>
      </c>
      <c r="T24" s="34" t="s">
        <v>532</v>
      </c>
      <c r="U24" s="34" t="s">
        <v>412</v>
      </c>
      <c r="V24" s="34" t="s">
        <v>411</v>
      </c>
      <c r="W24" s="34" t="s">
        <v>353</v>
      </c>
      <c r="X24" s="34" t="s">
        <v>340</v>
      </c>
      <c r="Y24" s="33"/>
      <c r="Z24" s="33"/>
      <c r="AA24" s="33"/>
      <c r="AB24" s="33"/>
    </row>
    <row r="25" spans="1:28" ht="16" thickBot="1">
      <c r="A25" s="34" t="s">
        <v>533</v>
      </c>
      <c r="B25" s="34">
        <v>1</v>
      </c>
      <c r="C25" s="34" t="s">
        <v>534</v>
      </c>
      <c r="D25" s="34" t="s">
        <v>535</v>
      </c>
      <c r="E25" s="34" t="s">
        <v>415</v>
      </c>
      <c r="F25" s="34" t="s">
        <v>536</v>
      </c>
      <c r="G25" s="34" t="s">
        <v>417</v>
      </c>
      <c r="H25" s="34">
        <v>1159390011</v>
      </c>
      <c r="I25" s="34">
        <v>7932578092</v>
      </c>
      <c r="J25" s="34" t="s">
        <v>537</v>
      </c>
      <c r="K25" s="36" t="s">
        <v>538</v>
      </c>
      <c r="L25" s="34" t="s">
        <v>408</v>
      </c>
      <c r="M25" s="34" t="s">
        <v>409</v>
      </c>
      <c r="N25" s="34" t="s">
        <v>13</v>
      </c>
      <c r="O25" s="34" t="s">
        <v>369</v>
      </c>
      <c r="P25" s="35">
        <v>45260</v>
      </c>
      <c r="Q25" s="34" t="s">
        <v>410</v>
      </c>
      <c r="R25" s="34" t="s">
        <v>422</v>
      </c>
      <c r="S25" s="35">
        <v>45566</v>
      </c>
      <c r="T25" s="34" t="s">
        <v>539</v>
      </c>
      <c r="U25" s="34" t="s">
        <v>412</v>
      </c>
      <c r="V25" s="34" t="s">
        <v>411</v>
      </c>
      <c r="W25" s="34" t="s">
        <v>353</v>
      </c>
      <c r="X25" s="34" t="s">
        <v>340</v>
      </c>
      <c r="Y25" s="33"/>
      <c r="Z25" s="33"/>
      <c r="AA25" s="33"/>
      <c r="AB25" s="33"/>
    </row>
    <row r="26" spans="1:28" ht="16" thickBot="1">
      <c r="A26" s="34" t="s">
        <v>540</v>
      </c>
      <c r="B26" s="34">
        <v>1</v>
      </c>
      <c r="C26" s="34" t="s">
        <v>541</v>
      </c>
      <c r="D26" s="34" t="s">
        <v>540</v>
      </c>
      <c r="E26" s="34" t="s">
        <v>415</v>
      </c>
      <c r="F26" s="34" t="s">
        <v>542</v>
      </c>
      <c r="G26" s="34" t="s">
        <v>428</v>
      </c>
      <c r="H26" s="33"/>
      <c r="I26" s="34">
        <v>7366146695</v>
      </c>
      <c r="J26" s="34" t="s">
        <v>543</v>
      </c>
      <c r="K26" s="36" t="s">
        <v>544</v>
      </c>
      <c r="L26" s="34" t="s">
        <v>408</v>
      </c>
      <c r="M26" s="34" t="s">
        <v>409</v>
      </c>
      <c r="N26" s="34" t="s">
        <v>13</v>
      </c>
      <c r="O26" s="34" t="s">
        <v>545</v>
      </c>
      <c r="P26" s="35">
        <v>45278</v>
      </c>
      <c r="Q26" s="34" t="s">
        <v>410</v>
      </c>
      <c r="R26" s="34" t="s">
        <v>422</v>
      </c>
      <c r="S26" s="35">
        <v>45566</v>
      </c>
      <c r="T26" s="34" t="s">
        <v>546</v>
      </c>
      <c r="U26" s="34" t="s">
        <v>412</v>
      </c>
      <c r="V26" s="34" t="s">
        <v>519</v>
      </c>
      <c r="W26" s="34" t="s">
        <v>353</v>
      </c>
      <c r="X26" s="34" t="s">
        <v>340</v>
      </c>
      <c r="Y26" s="33"/>
      <c r="Z26" s="33"/>
      <c r="AA26" s="33"/>
      <c r="AB26" s="33"/>
    </row>
    <row r="27" spans="1:28" ht="16" thickBot="1">
      <c r="A27" s="34" t="s">
        <v>547</v>
      </c>
      <c r="B27" s="34">
        <v>1</v>
      </c>
      <c r="C27" s="34" t="s">
        <v>445</v>
      </c>
      <c r="D27" s="34" t="s">
        <v>547</v>
      </c>
      <c r="E27" s="34" t="s">
        <v>415</v>
      </c>
      <c r="F27" s="34" t="s">
        <v>548</v>
      </c>
      <c r="G27" s="34" t="s">
        <v>428</v>
      </c>
      <c r="H27" s="33"/>
      <c r="I27" s="34">
        <v>7438564925</v>
      </c>
      <c r="J27" s="34" t="s">
        <v>549</v>
      </c>
      <c r="K27" s="36" t="s">
        <v>550</v>
      </c>
      <c r="L27" s="34" t="s">
        <v>408</v>
      </c>
      <c r="M27" s="34" t="s">
        <v>420</v>
      </c>
      <c r="N27" s="34" t="s">
        <v>431</v>
      </c>
      <c r="O27" s="34" t="s">
        <v>475</v>
      </c>
      <c r="P27" s="35">
        <v>45313</v>
      </c>
      <c r="Q27" s="34" t="s">
        <v>410</v>
      </c>
      <c r="R27" s="34" t="s">
        <v>551</v>
      </c>
      <c r="S27" s="35">
        <v>45632</v>
      </c>
      <c r="T27" s="34" t="s">
        <v>552</v>
      </c>
      <c r="U27" s="34" t="s">
        <v>412</v>
      </c>
      <c r="V27" s="34" t="s">
        <v>93</v>
      </c>
      <c r="W27" s="34" t="s">
        <v>423</v>
      </c>
      <c r="X27" s="82" t="s">
        <v>424</v>
      </c>
      <c r="Y27" s="83"/>
      <c r="Z27" s="33"/>
      <c r="AA27" s="33"/>
      <c r="AB27" s="33"/>
    </row>
    <row r="28" spans="1:28" ht="16" thickBot="1">
      <c r="A28" s="34" t="s">
        <v>464</v>
      </c>
      <c r="B28" s="34">
        <v>4</v>
      </c>
      <c r="C28" s="34" t="s">
        <v>465</v>
      </c>
      <c r="D28" s="34" t="s">
        <v>553</v>
      </c>
      <c r="E28" s="34" t="s">
        <v>415</v>
      </c>
      <c r="F28" s="34" t="s">
        <v>554</v>
      </c>
      <c r="G28" s="34" t="s">
        <v>428</v>
      </c>
      <c r="H28" s="34">
        <v>1327703841</v>
      </c>
      <c r="I28" s="33"/>
      <c r="J28" s="34" t="s">
        <v>555</v>
      </c>
      <c r="K28" s="36" t="s">
        <v>556</v>
      </c>
      <c r="L28" s="34" t="s">
        <v>408</v>
      </c>
      <c r="M28" s="34" t="s">
        <v>409</v>
      </c>
      <c r="N28" s="34" t="s">
        <v>19</v>
      </c>
      <c r="O28" s="34" t="s">
        <v>364</v>
      </c>
      <c r="P28" s="35">
        <v>45322</v>
      </c>
      <c r="Q28" s="34" t="s">
        <v>410</v>
      </c>
      <c r="R28" s="34" t="s">
        <v>422</v>
      </c>
      <c r="S28" s="35">
        <v>45566</v>
      </c>
      <c r="T28" s="34" t="s">
        <v>557</v>
      </c>
      <c r="U28" s="34" t="s">
        <v>558</v>
      </c>
      <c r="V28" s="34" t="s">
        <v>422</v>
      </c>
      <c r="W28" s="34" t="s">
        <v>353</v>
      </c>
      <c r="X28" s="34" t="s">
        <v>340</v>
      </c>
      <c r="Y28" s="33"/>
      <c r="Z28" s="33"/>
      <c r="AA28" s="33"/>
      <c r="AB28" s="33"/>
    </row>
    <row r="29" spans="1:28" ht="16" thickBot="1">
      <c r="A29" s="34" t="s">
        <v>464</v>
      </c>
      <c r="B29" s="34">
        <v>5</v>
      </c>
      <c r="C29" s="34" t="s">
        <v>465</v>
      </c>
      <c r="D29" s="34" t="s">
        <v>553</v>
      </c>
      <c r="E29" s="34" t="s">
        <v>415</v>
      </c>
      <c r="F29" s="34" t="s">
        <v>554</v>
      </c>
      <c r="G29" s="34" t="s">
        <v>428</v>
      </c>
      <c r="H29" s="34">
        <v>1327703841</v>
      </c>
      <c r="I29" s="33"/>
      <c r="J29" s="34" t="s">
        <v>555</v>
      </c>
      <c r="K29" s="36" t="s">
        <v>556</v>
      </c>
      <c r="L29" s="34" t="s">
        <v>408</v>
      </c>
      <c r="M29" s="34" t="s">
        <v>420</v>
      </c>
      <c r="N29" s="34" t="s">
        <v>431</v>
      </c>
      <c r="O29" s="34" t="s">
        <v>559</v>
      </c>
      <c r="P29" s="35">
        <v>45322</v>
      </c>
      <c r="Q29" s="34" t="s">
        <v>432</v>
      </c>
      <c r="R29" s="34" t="s">
        <v>422</v>
      </c>
      <c r="S29" s="35">
        <v>45566</v>
      </c>
      <c r="T29" s="34" t="s">
        <v>557</v>
      </c>
      <c r="U29" s="34" t="s">
        <v>558</v>
      </c>
      <c r="V29" s="34" t="s">
        <v>422</v>
      </c>
      <c r="W29" s="34" t="s">
        <v>423</v>
      </c>
      <c r="X29" s="82" t="s">
        <v>424</v>
      </c>
      <c r="Y29" s="83"/>
      <c r="Z29" s="33"/>
      <c r="AA29" s="33"/>
      <c r="AB29" s="33"/>
    </row>
    <row r="30" spans="1:28" ht="16" thickBot="1">
      <c r="A30" s="34" t="s">
        <v>560</v>
      </c>
      <c r="B30" s="34">
        <v>1</v>
      </c>
      <c r="C30" s="34" t="s">
        <v>513</v>
      </c>
      <c r="D30" s="34" t="s">
        <v>560</v>
      </c>
      <c r="E30" s="34" t="s">
        <v>415</v>
      </c>
      <c r="F30" s="34" t="s">
        <v>561</v>
      </c>
      <c r="G30" s="34" t="s">
        <v>428</v>
      </c>
      <c r="H30" s="33"/>
      <c r="I30" s="34">
        <v>7830114154</v>
      </c>
      <c r="J30" s="34" t="s">
        <v>562</v>
      </c>
      <c r="K30" s="36" t="s">
        <v>563</v>
      </c>
      <c r="L30" s="34" t="s">
        <v>408</v>
      </c>
      <c r="M30" s="34" t="s">
        <v>420</v>
      </c>
      <c r="N30" s="34" t="s">
        <v>431</v>
      </c>
      <c r="O30" s="34" t="s">
        <v>370</v>
      </c>
      <c r="P30" s="35">
        <v>45334</v>
      </c>
      <c r="Q30" s="34" t="s">
        <v>410</v>
      </c>
      <c r="R30" s="34" t="s">
        <v>422</v>
      </c>
      <c r="S30" s="35">
        <v>45566</v>
      </c>
      <c r="T30" s="34" t="s">
        <v>564</v>
      </c>
      <c r="U30" s="34" t="s">
        <v>558</v>
      </c>
      <c r="V30" s="34" t="s">
        <v>519</v>
      </c>
      <c r="W30" s="34" t="s">
        <v>423</v>
      </c>
      <c r="X30" s="82" t="s">
        <v>424</v>
      </c>
      <c r="Y30" s="83"/>
      <c r="Z30" s="33"/>
      <c r="AA30" s="33"/>
      <c r="AB30" s="33"/>
    </row>
    <row r="31" spans="1:28" ht="16" thickBot="1">
      <c r="A31" s="34" t="s">
        <v>565</v>
      </c>
      <c r="B31" s="34">
        <v>1</v>
      </c>
      <c r="C31" s="34" t="s">
        <v>460</v>
      </c>
      <c r="D31" s="34" t="s">
        <v>566</v>
      </c>
      <c r="E31" s="34" t="s">
        <v>415</v>
      </c>
      <c r="F31" s="34" t="s">
        <v>567</v>
      </c>
      <c r="G31" s="34" t="s">
        <v>417</v>
      </c>
      <c r="H31" s="33"/>
      <c r="I31" s="34">
        <v>7928086205</v>
      </c>
      <c r="J31" s="37" t="s">
        <v>568</v>
      </c>
      <c r="K31" s="36" t="s">
        <v>569</v>
      </c>
      <c r="L31" s="34" t="s">
        <v>408</v>
      </c>
      <c r="M31" s="34" t="s">
        <v>409</v>
      </c>
      <c r="N31" s="34" t="s">
        <v>13</v>
      </c>
      <c r="O31" s="34" t="s">
        <v>370</v>
      </c>
      <c r="P31" s="35">
        <v>45385</v>
      </c>
      <c r="Q31" s="34" t="s">
        <v>410</v>
      </c>
      <c r="R31" s="34" t="s">
        <v>422</v>
      </c>
      <c r="S31" s="35">
        <v>45566</v>
      </c>
      <c r="T31" s="34" t="s">
        <v>570</v>
      </c>
      <c r="U31" s="34" t="s">
        <v>412</v>
      </c>
      <c r="V31" s="34" t="s">
        <v>411</v>
      </c>
      <c r="W31" s="34" t="s">
        <v>353</v>
      </c>
      <c r="X31" s="34" t="s">
        <v>340</v>
      </c>
      <c r="Y31" s="33"/>
      <c r="Z31" s="33"/>
      <c r="AA31" s="33"/>
      <c r="AB31" s="33"/>
    </row>
    <row r="32" spans="1:28" ht="16" thickBot="1">
      <c r="A32" s="34" t="s">
        <v>565</v>
      </c>
      <c r="B32" s="34">
        <v>2</v>
      </c>
      <c r="C32" s="34" t="s">
        <v>460</v>
      </c>
      <c r="D32" s="34" t="s">
        <v>566</v>
      </c>
      <c r="E32" s="34" t="s">
        <v>415</v>
      </c>
      <c r="F32" s="34" t="s">
        <v>567</v>
      </c>
      <c r="G32" s="34" t="s">
        <v>417</v>
      </c>
      <c r="H32" s="33"/>
      <c r="I32" s="34">
        <v>7928086205</v>
      </c>
      <c r="J32" s="37" t="s">
        <v>568</v>
      </c>
      <c r="K32" s="36" t="s">
        <v>569</v>
      </c>
      <c r="L32" s="34" t="s">
        <v>408</v>
      </c>
      <c r="M32" s="34" t="s">
        <v>420</v>
      </c>
      <c r="N32" s="34" t="s">
        <v>431</v>
      </c>
      <c r="O32" s="34" t="s">
        <v>475</v>
      </c>
      <c r="P32" s="35">
        <v>45385</v>
      </c>
      <c r="Q32" s="34" t="s">
        <v>432</v>
      </c>
      <c r="R32" s="34" t="s">
        <v>422</v>
      </c>
      <c r="S32" s="35">
        <v>45566</v>
      </c>
      <c r="T32" s="34" t="s">
        <v>570</v>
      </c>
      <c r="U32" s="34" t="s">
        <v>412</v>
      </c>
      <c r="V32" s="34" t="s">
        <v>411</v>
      </c>
      <c r="W32" s="34" t="s">
        <v>423</v>
      </c>
      <c r="X32" s="82" t="s">
        <v>424</v>
      </c>
      <c r="Y32" s="83"/>
      <c r="Z32" s="33"/>
      <c r="AA32" s="33"/>
      <c r="AB32" s="33"/>
    </row>
    <row r="33" spans="1:28" ht="16" thickBot="1">
      <c r="A33" s="34" t="s">
        <v>464</v>
      </c>
      <c r="B33" s="34">
        <v>6</v>
      </c>
      <c r="C33" s="34" t="s">
        <v>465</v>
      </c>
      <c r="D33" s="34" t="s">
        <v>571</v>
      </c>
      <c r="E33" s="34" t="s">
        <v>415</v>
      </c>
      <c r="F33" s="34" t="s">
        <v>572</v>
      </c>
      <c r="G33" s="33"/>
      <c r="H33" s="33"/>
      <c r="I33" s="33"/>
      <c r="J33" s="33"/>
      <c r="K33" s="36" t="s">
        <v>573</v>
      </c>
      <c r="L33" s="34" t="s">
        <v>408</v>
      </c>
      <c r="M33" s="34" t="s">
        <v>409</v>
      </c>
      <c r="N33" s="34" t="s">
        <v>19</v>
      </c>
      <c r="O33" s="34" t="s">
        <v>364</v>
      </c>
      <c r="P33" s="35">
        <v>45390</v>
      </c>
      <c r="Q33" s="34" t="s">
        <v>410</v>
      </c>
      <c r="R33" s="34" t="s">
        <v>422</v>
      </c>
      <c r="S33" s="35">
        <v>45566</v>
      </c>
      <c r="T33" s="33"/>
      <c r="U33" s="34" t="s">
        <v>558</v>
      </c>
      <c r="V33" s="34" t="s">
        <v>422</v>
      </c>
      <c r="W33" s="34" t="s">
        <v>353</v>
      </c>
      <c r="X33" s="34" t="s">
        <v>340</v>
      </c>
      <c r="Y33" s="33"/>
      <c r="Z33" s="33"/>
      <c r="AA33" s="33"/>
      <c r="AB33" s="33"/>
    </row>
    <row r="34" spans="1:28" ht="16" thickBot="1">
      <c r="A34" s="34" t="s">
        <v>464</v>
      </c>
      <c r="B34" s="34">
        <v>7</v>
      </c>
      <c r="C34" s="34" t="s">
        <v>465</v>
      </c>
      <c r="D34" s="34" t="s">
        <v>571</v>
      </c>
      <c r="E34" s="34" t="s">
        <v>415</v>
      </c>
      <c r="F34" s="34" t="s">
        <v>572</v>
      </c>
      <c r="G34" s="33"/>
      <c r="H34" s="33"/>
      <c r="I34" s="33"/>
      <c r="J34" s="33"/>
      <c r="K34" s="36" t="s">
        <v>573</v>
      </c>
      <c r="L34" s="34" t="s">
        <v>408</v>
      </c>
      <c r="M34" s="34" t="s">
        <v>420</v>
      </c>
      <c r="N34" s="34" t="s">
        <v>431</v>
      </c>
      <c r="O34" s="34" t="s">
        <v>559</v>
      </c>
      <c r="P34" s="35">
        <v>45390</v>
      </c>
      <c r="Q34" s="34" t="s">
        <v>432</v>
      </c>
      <c r="R34" s="34" t="s">
        <v>422</v>
      </c>
      <c r="S34" s="35">
        <v>45566</v>
      </c>
      <c r="T34" s="33"/>
      <c r="U34" s="34" t="s">
        <v>558</v>
      </c>
      <c r="V34" s="34" t="s">
        <v>422</v>
      </c>
      <c r="W34" s="34" t="s">
        <v>423</v>
      </c>
      <c r="X34" s="34" t="s">
        <v>424</v>
      </c>
      <c r="Y34" s="33"/>
      <c r="Z34" s="33"/>
      <c r="AA34" s="33"/>
      <c r="AB34" s="33"/>
    </row>
    <row r="35" spans="1:28" ht="16" thickBot="1">
      <c r="A35" s="34" t="s">
        <v>464</v>
      </c>
      <c r="B35" s="34">
        <v>8</v>
      </c>
      <c r="C35" s="34" t="s">
        <v>465</v>
      </c>
      <c r="D35" s="34" t="s">
        <v>574</v>
      </c>
      <c r="E35" s="34" t="s">
        <v>415</v>
      </c>
      <c r="F35" s="34" t="s">
        <v>572</v>
      </c>
      <c r="G35" s="33"/>
      <c r="H35" s="33"/>
      <c r="I35" s="33"/>
      <c r="J35" s="33"/>
      <c r="K35" s="36" t="s">
        <v>575</v>
      </c>
      <c r="L35" s="34" t="s">
        <v>408</v>
      </c>
      <c r="M35" s="34" t="s">
        <v>409</v>
      </c>
      <c r="N35" s="34" t="s">
        <v>19</v>
      </c>
      <c r="O35" s="34" t="s">
        <v>378</v>
      </c>
      <c r="P35" s="35">
        <v>45412</v>
      </c>
      <c r="Q35" s="34" t="s">
        <v>410</v>
      </c>
      <c r="R35" s="34" t="s">
        <v>422</v>
      </c>
      <c r="S35" s="35">
        <v>45566</v>
      </c>
      <c r="T35" s="34" t="s">
        <v>576</v>
      </c>
      <c r="U35" s="34" t="s">
        <v>558</v>
      </c>
      <c r="V35" s="34" t="s">
        <v>422</v>
      </c>
      <c r="W35" s="34" t="s">
        <v>353</v>
      </c>
      <c r="X35" s="34" t="s">
        <v>340</v>
      </c>
      <c r="Y35" s="33"/>
      <c r="Z35" s="33"/>
      <c r="AA35" s="33"/>
      <c r="AB35" s="33"/>
    </row>
    <row r="36" spans="1:28" ht="16" thickBot="1">
      <c r="A36" s="34" t="s">
        <v>464</v>
      </c>
      <c r="B36" s="34">
        <v>9</v>
      </c>
      <c r="C36" s="34" t="s">
        <v>465</v>
      </c>
      <c r="D36" s="34" t="s">
        <v>574</v>
      </c>
      <c r="E36" s="34" t="s">
        <v>415</v>
      </c>
      <c r="F36" s="34" t="s">
        <v>572</v>
      </c>
      <c r="G36" s="33"/>
      <c r="H36" s="33"/>
      <c r="I36" s="33"/>
      <c r="J36" s="33"/>
      <c r="K36" s="36" t="s">
        <v>575</v>
      </c>
      <c r="L36" s="34" t="s">
        <v>408</v>
      </c>
      <c r="M36" s="34" t="s">
        <v>420</v>
      </c>
      <c r="N36" s="34" t="s">
        <v>431</v>
      </c>
      <c r="O36" s="34" t="s">
        <v>559</v>
      </c>
      <c r="P36" s="35">
        <v>45412</v>
      </c>
      <c r="Q36" s="34" t="s">
        <v>432</v>
      </c>
      <c r="R36" s="34" t="s">
        <v>422</v>
      </c>
      <c r="S36" s="35">
        <v>45566</v>
      </c>
      <c r="T36" s="34" t="s">
        <v>576</v>
      </c>
      <c r="U36" s="34" t="s">
        <v>558</v>
      </c>
      <c r="V36" s="34" t="s">
        <v>422</v>
      </c>
      <c r="W36" s="34" t="s">
        <v>423</v>
      </c>
      <c r="X36" s="82" t="s">
        <v>424</v>
      </c>
      <c r="Y36" s="83"/>
      <c r="Z36" s="33"/>
      <c r="AA36" s="33"/>
      <c r="AB36" s="33"/>
    </row>
    <row r="37" spans="1:28" ht="16" thickBot="1">
      <c r="A37" s="34" t="s">
        <v>577</v>
      </c>
      <c r="B37" s="34">
        <v>1</v>
      </c>
      <c r="C37" s="34" t="s">
        <v>440</v>
      </c>
      <c r="D37" s="34" t="s">
        <v>577</v>
      </c>
      <c r="E37" s="34" t="s">
        <v>415</v>
      </c>
      <c r="F37" s="34" t="s">
        <v>578</v>
      </c>
      <c r="G37" s="34" t="s">
        <v>428</v>
      </c>
      <c r="H37" s="34">
        <v>1202292895</v>
      </c>
      <c r="I37" s="34">
        <v>7779777112</v>
      </c>
      <c r="J37" s="34" t="s">
        <v>579</v>
      </c>
      <c r="K37" s="36" t="s">
        <v>580</v>
      </c>
      <c r="L37" s="34" t="s">
        <v>408</v>
      </c>
      <c r="M37" s="34" t="s">
        <v>409</v>
      </c>
      <c r="N37" s="34" t="s">
        <v>36</v>
      </c>
      <c r="O37" s="34" t="s">
        <v>475</v>
      </c>
      <c r="P37" s="35">
        <v>45415</v>
      </c>
      <c r="Q37" s="34" t="s">
        <v>410</v>
      </c>
      <c r="R37" s="34" t="s">
        <v>422</v>
      </c>
      <c r="S37" s="35">
        <v>45572</v>
      </c>
      <c r="T37" s="34" t="s">
        <v>581</v>
      </c>
      <c r="U37" s="34" t="s">
        <v>412</v>
      </c>
      <c r="V37" s="34" t="s">
        <v>411</v>
      </c>
      <c r="W37" s="34" t="s">
        <v>353</v>
      </c>
      <c r="X37" s="34" t="s">
        <v>340</v>
      </c>
      <c r="Y37" s="33"/>
      <c r="Z37" s="33"/>
      <c r="AA37" s="33"/>
      <c r="AB37" s="33"/>
    </row>
    <row r="38" spans="1:28" ht="16" thickBot="1">
      <c r="A38" s="34" t="s">
        <v>464</v>
      </c>
      <c r="B38" s="34">
        <v>10</v>
      </c>
      <c r="C38" s="34" t="s">
        <v>465</v>
      </c>
      <c r="D38" s="34" t="s">
        <v>582</v>
      </c>
      <c r="E38" s="34" t="s">
        <v>415</v>
      </c>
      <c r="F38" s="34" t="s">
        <v>583</v>
      </c>
      <c r="G38" s="34" t="s">
        <v>468</v>
      </c>
      <c r="H38" s="34">
        <v>1327221187</v>
      </c>
      <c r="I38" s="34">
        <v>7951635585</v>
      </c>
      <c r="J38" s="34" t="s">
        <v>584</v>
      </c>
      <c r="K38" s="36" t="s">
        <v>585</v>
      </c>
      <c r="L38" s="34" t="s">
        <v>408</v>
      </c>
      <c r="M38" s="34" t="s">
        <v>409</v>
      </c>
      <c r="N38" s="34" t="s">
        <v>19</v>
      </c>
      <c r="O38" s="34" t="s">
        <v>378</v>
      </c>
      <c r="P38" s="35">
        <v>45433</v>
      </c>
      <c r="Q38" s="34" t="s">
        <v>410</v>
      </c>
      <c r="R38" s="34" t="s">
        <v>422</v>
      </c>
      <c r="S38" s="35">
        <v>45483</v>
      </c>
      <c r="T38" s="34" t="s">
        <v>586</v>
      </c>
      <c r="U38" s="34" t="s">
        <v>412</v>
      </c>
      <c r="V38" s="34" t="s">
        <v>422</v>
      </c>
      <c r="W38" s="34" t="s">
        <v>353</v>
      </c>
      <c r="X38" s="34" t="s">
        <v>340</v>
      </c>
      <c r="Y38" s="33"/>
      <c r="Z38" s="33"/>
      <c r="AA38" s="33"/>
      <c r="AB38" s="33"/>
    </row>
    <row r="39" spans="1:28" ht="16" thickBot="1">
      <c r="A39" s="34" t="s">
        <v>464</v>
      </c>
      <c r="B39" s="34">
        <v>11</v>
      </c>
      <c r="C39" s="34" t="s">
        <v>465</v>
      </c>
      <c r="D39" s="34" t="s">
        <v>582</v>
      </c>
      <c r="E39" s="34" t="s">
        <v>415</v>
      </c>
      <c r="F39" s="34" t="s">
        <v>583</v>
      </c>
      <c r="G39" s="34" t="s">
        <v>468</v>
      </c>
      <c r="H39" s="34">
        <v>1327221187</v>
      </c>
      <c r="I39" s="34">
        <v>7951635585</v>
      </c>
      <c r="J39" s="34" t="s">
        <v>584</v>
      </c>
      <c r="K39" s="36" t="s">
        <v>585</v>
      </c>
      <c r="L39" s="34" t="s">
        <v>408</v>
      </c>
      <c r="M39" s="34" t="s">
        <v>420</v>
      </c>
      <c r="N39" s="34" t="s">
        <v>431</v>
      </c>
      <c r="O39" s="34" t="s">
        <v>559</v>
      </c>
      <c r="P39" s="35">
        <v>45433</v>
      </c>
      <c r="Q39" s="34" t="s">
        <v>432</v>
      </c>
      <c r="R39" s="34" t="s">
        <v>422</v>
      </c>
      <c r="S39" s="35">
        <v>45483</v>
      </c>
      <c r="T39" s="34" t="s">
        <v>586</v>
      </c>
      <c r="U39" s="34" t="s">
        <v>412</v>
      </c>
      <c r="V39" s="34" t="s">
        <v>422</v>
      </c>
      <c r="W39" s="34" t="s">
        <v>423</v>
      </c>
      <c r="X39" s="82" t="s">
        <v>424</v>
      </c>
      <c r="Y39" s="83"/>
      <c r="Z39" s="33"/>
      <c r="AA39" s="33"/>
      <c r="AB39" s="33"/>
    </row>
    <row r="40" spans="1:28" ht="16" thickBot="1">
      <c r="A40" s="34" t="s">
        <v>587</v>
      </c>
      <c r="B40" s="34">
        <v>1</v>
      </c>
      <c r="C40" s="34" t="s">
        <v>588</v>
      </c>
      <c r="D40" s="34" t="s">
        <v>587</v>
      </c>
      <c r="E40" s="34" t="s">
        <v>415</v>
      </c>
      <c r="F40" s="34" t="s">
        <v>589</v>
      </c>
      <c r="G40" s="34" t="s">
        <v>428</v>
      </c>
      <c r="H40" s="33"/>
      <c r="I40" s="34">
        <v>7932439650</v>
      </c>
      <c r="J40" s="34" t="s">
        <v>590</v>
      </c>
      <c r="K40" s="36" t="s">
        <v>591</v>
      </c>
      <c r="L40" s="34" t="s">
        <v>408</v>
      </c>
      <c r="M40" s="34" t="s">
        <v>409</v>
      </c>
      <c r="N40" s="34" t="s">
        <v>13</v>
      </c>
      <c r="O40" s="34" t="s">
        <v>369</v>
      </c>
      <c r="P40" s="35">
        <v>45477</v>
      </c>
      <c r="Q40" s="34" t="s">
        <v>410</v>
      </c>
      <c r="R40" s="34" t="s">
        <v>422</v>
      </c>
      <c r="S40" s="35">
        <v>45468</v>
      </c>
      <c r="T40" s="34" t="s">
        <v>592</v>
      </c>
      <c r="U40" s="34" t="s">
        <v>412</v>
      </c>
      <c r="V40" s="34" t="s">
        <v>593</v>
      </c>
      <c r="W40" s="34" t="s">
        <v>353</v>
      </c>
      <c r="X40" s="34" t="s">
        <v>340</v>
      </c>
      <c r="Y40" s="38">
        <v>241137</v>
      </c>
      <c r="Z40" s="33"/>
      <c r="AA40" s="34" t="s">
        <v>370</v>
      </c>
      <c r="AB40" s="34" t="s">
        <v>594</v>
      </c>
    </row>
    <row r="41" spans="1:28" ht="16" thickBot="1">
      <c r="A41" s="34" t="s">
        <v>587</v>
      </c>
      <c r="B41" s="34">
        <v>2</v>
      </c>
      <c r="C41" s="34" t="s">
        <v>588</v>
      </c>
      <c r="D41" s="34" t="s">
        <v>587</v>
      </c>
      <c r="E41" s="34" t="s">
        <v>415</v>
      </c>
      <c r="F41" s="34" t="s">
        <v>589</v>
      </c>
      <c r="G41" s="34" t="s">
        <v>428</v>
      </c>
      <c r="H41" s="33"/>
      <c r="I41" s="34">
        <v>7932439650</v>
      </c>
      <c r="J41" s="34" t="s">
        <v>590</v>
      </c>
      <c r="K41" s="36" t="s">
        <v>591</v>
      </c>
      <c r="L41" s="34" t="s">
        <v>408</v>
      </c>
      <c r="M41" s="34" t="s">
        <v>420</v>
      </c>
      <c r="N41" s="34" t="s">
        <v>431</v>
      </c>
      <c r="O41" s="34" t="s">
        <v>369</v>
      </c>
      <c r="P41" s="35">
        <v>45477</v>
      </c>
      <c r="Q41" s="34" t="s">
        <v>432</v>
      </c>
      <c r="R41" s="34" t="s">
        <v>422</v>
      </c>
      <c r="S41" s="35">
        <v>45468</v>
      </c>
      <c r="T41" s="34" t="s">
        <v>592</v>
      </c>
      <c r="U41" s="34" t="s">
        <v>412</v>
      </c>
      <c r="V41" s="34" t="s">
        <v>593</v>
      </c>
      <c r="W41" s="34" t="s">
        <v>423</v>
      </c>
      <c r="X41" s="34" t="s">
        <v>424</v>
      </c>
      <c r="Y41" s="38">
        <v>241147</v>
      </c>
      <c r="Z41" s="33"/>
      <c r="AA41" s="34" t="s">
        <v>370</v>
      </c>
      <c r="AB41" s="34" t="s">
        <v>594</v>
      </c>
    </row>
    <row r="42" spans="1:28" ht="16" thickBot="1">
      <c r="A42" s="34" t="s">
        <v>595</v>
      </c>
      <c r="B42" s="34">
        <v>1</v>
      </c>
      <c r="C42" s="34" t="s">
        <v>541</v>
      </c>
      <c r="D42" s="34" t="s">
        <v>595</v>
      </c>
      <c r="E42" s="34" t="s">
        <v>415</v>
      </c>
      <c r="F42" s="34" t="s">
        <v>596</v>
      </c>
      <c r="G42" s="34" t="s">
        <v>428</v>
      </c>
      <c r="H42" s="34">
        <v>2085429448</v>
      </c>
      <c r="I42" s="34">
        <v>7823555955</v>
      </c>
      <c r="J42" s="34" t="s">
        <v>597</v>
      </c>
      <c r="K42" s="36" t="s">
        <v>598</v>
      </c>
      <c r="L42" s="34" t="s">
        <v>408</v>
      </c>
      <c r="M42" s="34" t="s">
        <v>409</v>
      </c>
      <c r="N42" s="34" t="s">
        <v>36</v>
      </c>
      <c r="O42" s="34" t="s">
        <v>364</v>
      </c>
      <c r="P42" s="35">
        <v>45488</v>
      </c>
      <c r="Q42" s="34" t="s">
        <v>410</v>
      </c>
      <c r="R42" s="34" t="s">
        <v>422</v>
      </c>
      <c r="S42" s="35">
        <v>45485</v>
      </c>
      <c r="T42" s="34" t="s">
        <v>599</v>
      </c>
      <c r="U42" s="34" t="s">
        <v>412</v>
      </c>
      <c r="V42" s="34" t="s">
        <v>600</v>
      </c>
      <c r="W42" s="34" t="s">
        <v>353</v>
      </c>
      <c r="X42" s="34" t="s">
        <v>340</v>
      </c>
      <c r="Y42" s="33"/>
      <c r="Z42" s="33"/>
      <c r="AA42" s="33"/>
      <c r="AB42" s="33"/>
    </row>
    <row r="43" spans="1:28" ht="16" thickBot="1">
      <c r="A43" s="34" t="s">
        <v>601</v>
      </c>
      <c r="B43" s="34">
        <v>1</v>
      </c>
      <c r="C43" s="34" t="s">
        <v>521</v>
      </c>
      <c r="D43" s="34" t="s">
        <v>601</v>
      </c>
      <c r="E43" s="34" t="s">
        <v>415</v>
      </c>
      <c r="F43" s="34" t="s">
        <v>602</v>
      </c>
      <c r="G43" s="34" t="s">
        <v>417</v>
      </c>
      <c r="H43" s="34">
        <v>1582481114</v>
      </c>
      <c r="I43" s="33"/>
      <c r="J43" s="34" t="s">
        <v>603</v>
      </c>
      <c r="K43" s="36" t="s">
        <v>604</v>
      </c>
      <c r="L43" s="34" t="s">
        <v>408</v>
      </c>
      <c r="M43" s="34" t="s">
        <v>409</v>
      </c>
      <c r="N43" s="34" t="s">
        <v>13</v>
      </c>
      <c r="O43" s="34" t="s">
        <v>605</v>
      </c>
      <c r="P43" s="35">
        <v>45512</v>
      </c>
      <c r="Q43" s="34" t="s">
        <v>410</v>
      </c>
      <c r="R43" s="34" t="s">
        <v>422</v>
      </c>
      <c r="S43" s="35">
        <v>45576</v>
      </c>
      <c r="T43" s="34" t="s">
        <v>606</v>
      </c>
      <c r="U43" s="34" t="s">
        <v>412</v>
      </c>
      <c r="V43" s="34" t="s">
        <v>422</v>
      </c>
      <c r="W43" s="34" t="s">
        <v>353</v>
      </c>
      <c r="X43" s="34" t="s">
        <v>340</v>
      </c>
      <c r="Y43" s="33"/>
      <c r="Z43" s="33"/>
      <c r="AA43" s="33"/>
      <c r="AB43" s="33"/>
    </row>
    <row r="44" spans="1:28" ht="16" thickBot="1">
      <c r="A44" s="34" t="s">
        <v>607</v>
      </c>
      <c r="B44" s="34">
        <v>1</v>
      </c>
      <c r="C44" s="34" t="s">
        <v>608</v>
      </c>
      <c r="D44" s="34" t="s">
        <v>607</v>
      </c>
      <c r="E44" s="34" t="s">
        <v>415</v>
      </c>
      <c r="F44" s="34" t="s">
        <v>609</v>
      </c>
      <c r="G44" s="34" t="s">
        <v>428</v>
      </c>
      <c r="H44" s="33"/>
      <c r="I44" s="34">
        <v>7436304422</v>
      </c>
      <c r="J44" s="34" t="s">
        <v>610</v>
      </c>
      <c r="K44" s="34" t="s">
        <v>407</v>
      </c>
      <c r="L44" s="34" t="s">
        <v>408</v>
      </c>
      <c r="M44" s="34" t="s">
        <v>409</v>
      </c>
      <c r="N44" s="34" t="s">
        <v>13</v>
      </c>
      <c r="O44" s="34" t="s">
        <v>611</v>
      </c>
      <c r="P44" s="35">
        <v>45518</v>
      </c>
      <c r="Q44" s="34" t="s">
        <v>410</v>
      </c>
      <c r="R44" s="34" t="s">
        <v>422</v>
      </c>
      <c r="S44" s="35">
        <v>45490</v>
      </c>
      <c r="T44" s="34" t="s">
        <v>612</v>
      </c>
      <c r="U44" s="34" t="s">
        <v>412</v>
      </c>
      <c r="V44" s="34" t="s">
        <v>613</v>
      </c>
      <c r="W44" s="34" t="s">
        <v>353</v>
      </c>
      <c r="X44" s="34" t="s">
        <v>340</v>
      </c>
      <c r="Y44" s="33"/>
      <c r="Z44" s="33"/>
      <c r="AA44" s="33"/>
      <c r="AB44" s="33"/>
    </row>
    <row r="45" spans="1:28" ht="16" thickBot="1">
      <c r="A45" s="34" t="s">
        <v>614</v>
      </c>
      <c r="B45" s="34">
        <v>1</v>
      </c>
      <c r="C45" s="34" t="s">
        <v>615</v>
      </c>
      <c r="D45" s="34" t="s">
        <v>614</v>
      </c>
      <c r="E45" s="34" t="s">
        <v>415</v>
      </c>
      <c r="F45" s="34" t="s">
        <v>616</v>
      </c>
      <c r="G45" s="34" t="s">
        <v>428</v>
      </c>
      <c r="H45" s="33"/>
      <c r="I45" s="37">
        <v>7475214014</v>
      </c>
      <c r="J45" s="37" t="s">
        <v>617</v>
      </c>
      <c r="K45" s="36" t="s">
        <v>618</v>
      </c>
      <c r="L45" s="34" t="s">
        <v>408</v>
      </c>
      <c r="M45" s="34" t="s">
        <v>409</v>
      </c>
      <c r="N45" s="34" t="s">
        <v>13</v>
      </c>
      <c r="O45" s="34" t="s">
        <v>370</v>
      </c>
      <c r="P45" s="35">
        <v>45541</v>
      </c>
      <c r="Q45" s="34" t="s">
        <v>410</v>
      </c>
      <c r="R45" s="34" t="s">
        <v>422</v>
      </c>
      <c r="S45" s="35">
        <v>45518</v>
      </c>
      <c r="T45" s="34" t="s">
        <v>619</v>
      </c>
      <c r="U45" s="34" t="s">
        <v>412</v>
      </c>
      <c r="V45" s="34" t="s">
        <v>613</v>
      </c>
      <c r="W45" s="34" t="s">
        <v>353</v>
      </c>
      <c r="X45" s="34" t="s">
        <v>340</v>
      </c>
      <c r="Y45" s="33"/>
      <c r="Z45" s="33"/>
      <c r="AA45" s="33"/>
      <c r="AB45" s="33"/>
    </row>
    <row r="46" spans="1:28" ht="16" thickBot="1">
      <c r="A46" s="34" t="s">
        <v>620</v>
      </c>
      <c r="B46" s="34">
        <v>1</v>
      </c>
      <c r="C46" s="34" t="s">
        <v>460</v>
      </c>
      <c r="D46" s="34" t="s">
        <v>620</v>
      </c>
      <c r="E46" s="34" t="s">
        <v>415</v>
      </c>
      <c r="F46" s="34" t="s">
        <v>621</v>
      </c>
      <c r="G46" s="34" t="s">
        <v>428</v>
      </c>
      <c r="H46" s="33"/>
      <c r="I46" s="34">
        <v>7964932829</v>
      </c>
      <c r="J46" s="34" t="s">
        <v>622</v>
      </c>
      <c r="K46" s="34" t="s">
        <v>407</v>
      </c>
      <c r="L46" s="34" t="s">
        <v>408</v>
      </c>
      <c r="M46" s="34" t="s">
        <v>409</v>
      </c>
      <c r="N46" s="34" t="s">
        <v>13</v>
      </c>
      <c r="O46" s="34" t="s">
        <v>369</v>
      </c>
      <c r="P46" s="35">
        <v>45556</v>
      </c>
      <c r="Q46" s="34" t="s">
        <v>410</v>
      </c>
      <c r="R46" s="34" t="s">
        <v>422</v>
      </c>
      <c r="S46" s="35">
        <v>45535</v>
      </c>
      <c r="T46" s="34" t="s">
        <v>623</v>
      </c>
      <c r="U46" s="34" t="s">
        <v>412</v>
      </c>
      <c r="V46" s="34" t="s">
        <v>624</v>
      </c>
      <c r="W46" s="34" t="s">
        <v>353</v>
      </c>
      <c r="X46" s="34" t="s">
        <v>340</v>
      </c>
      <c r="Y46" s="33"/>
      <c r="Z46" s="33"/>
      <c r="AA46" s="33"/>
      <c r="AB46" s="33"/>
    </row>
    <row r="47" spans="1:28" ht="16" thickBot="1">
      <c r="A47" s="34" t="s">
        <v>464</v>
      </c>
      <c r="B47" s="34">
        <v>2</v>
      </c>
      <c r="C47" s="34" t="s">
        <v>465</v>
      </c>
      <c r="D47" s="34" t="s">
        <v>466</v>
      </c>
      <c r="E47" s="34" t="s">
        <v>415</v>
      </c>
      <c r="F47" s="34" t="s">
        <v>554</v>
      </c>
      <c r="G47" s="34" t="s">
        <v>428</v>
      </c>
      <c r="H47" s="34">
        <v>1327703841</v>
      </c>
      <c r="I47" s="33"/>
      <c r="J47" s="34" t="s">
        <v>555</v>
      </c>
      <c r="K47" s="36" t="s">
        <v>470</v>
      </c>
      <c r="L47" s="34" t="s">
        <v>408</v>
      </c>
      <c r="M47" s="34" t="s">
        <v>420</v>
      </c>
      <c r="N47" s="34" t="s">
        <v>431</v>
      </c>
      <c r="O47" s="34" t="s">
        <v>559</v>
      </c>
      <c r="P47" s="35">
        <v>45566</v>
      </c>
      <c r="Q47" s="34" t="s">
        <v>432</v>
      </c>
      <c r="R47" s="34" t="s">
        <v>422</v>
      </c>
      <c r="S47" s="35">
        <v>45305</v>
      </c>
      <c r="T47" s="33"/>
      <c r="U47" s="33"/>
      <c r="V47" s="33"/>
      <c r="W47" s="34" t="s">
        <v>423</v>
      </c>
      <c r="X47" s="82" t="s">
        <v>424</v>
      </c>
      <c r="Y47" s="83"/>
      <c r="Z47" s="33"/>
      <c r="AA47" s="33"/>
      <c r="AB47" s="33"/>
    </row>
    <row r="48" spans="1:28" ht="16" thickBot="1">
      <c r="A48" s="34" t="s">
        <v>625</v>
      </c>
      <c r="B48" s="34">
        <v>1</v>
      </c>
      <c r="C48" s="34" t="s">
        <v>626</v>
      </c>
      <c r="D48" s="34" t="s">
        <v>625</v>
      </c>
      <c r="E48" s="34" t="s">
        <v>627</v>
      </c>
      <c r="F48" s="34" t="s">
        <v>628</v>
      </c>
      <c r="G48" s="33"/>
      <c r="H48" s="33"/>
      <c r="I48" s="34">
        <v>7593023563</v>
      </c>
      <c r="J48" s="34" t="s">
        <v>629</v>
      </c>
      <c r="K48" s="36" t="s">
        <v>630</v>
      </c>
      <c r="L48" s="34" t="s">
        <v>408</v>
      </c>
      <c r="M48" s="34" t="s">
        <v>409</v>
      </c>
      <c r="N48" s="34" t="s">
        <v>13</v>
      </c>
      <c r="O48" s="34" t="s">
        <v>369</v>
      </c>
      <c r="P48" s="35">
        <v>45568</v>
      </c>
      <c r="Q48" s="34" t="s">
        <v>410</v>
      </c>
      <c r="R48" s="34" t="s">
        <v>422</v>
      </c>
      <c r="S48" s="35">
        <v>45513</v>
      </c>
      <c r="T48" s="34" t="s">
        <v>631</v>
      </c>
      <c r="U48" s="34" t="s">
        <v>412</v>
      </c>
      <c r="V48" s="34" t="s">
        <v>632</v>
      </c>
      <c r="W48" s="34" t="s">
        <v>353</v>
      </c>
      <c r="X48" s="34" t="s">
        <v>340</v>
      </c>
      <c r="Y48" s="33"/>
      <c r="Z48" s="33"/>
      <c r="AA48" s="33"/>
      <c r="AB48" s="33"/>
    </row>
    <row r="49" spans="1:28" ht="16" thickBot="1">
      <c r="A49" s="34" t="s">
        <v>464</v>
      </c>
      <c r="B49" s="34">
        <v>12</v>
      </c>
      <c r="C49" s="34" t="s">
        <v>500</v>
      </c>
      <c r="D49" s="34" t="s">
        <v>633</v>
      </c>
      <c r="E49" s="34" t="s">
        <v>415</v>
      </c>
      <c r="F49" s="34" t="s">
        <v>634</v>
      </c>
      <c r="G49" s="34" t="s">
        <v>428</v>
      </c>
      <c r="H49" s="33"/>
      <c r="I49" s="33"/>
      <c r="J49" s="34" t="s">
        <v>635</v>
      </c>
      <c r="K49" s="36" t="s">
        <v>636</v>
      </c>
      <c r="L49" s="34" t="s">
        <v>408</v>
      </c>
      <c r="M49" s="34" t="s">
        <v>409</v>
      </c>
      <c r="N49" s="34" t="s">
        <v>36</v>
      </c>
      <c r="O49" s="34" t="s">
        <v>637</v>
      </c>
      <c r="P49" s="35">
        <v>45586</v>
      </c>
      <c r="Q49" s="34" t="s">
        <v>432</v>
      </c>
      <c r="R49" s="34" t="s">
        <v>422</v>
      </c>
      <c r="S49" s="35">
        <v>45586</v>
      </c>
      <c r="T49" s="33"/>
      <c r="U49" s="34" t="s">
        <v>558</v>
      </c>
      <c r="V49" s="34" t="s">
        <v>422</v>
      </c>
      <c r="W49" s="34" t="s">
        <v>353</v>
      </c>
      <c r="X49" s="34" t="s">
        <v>340</v>
      </c>
      <c r="Y49" s="33"/>
      <c r="Z49" s="33"/>
      <c r="AA49" s="33"/>
      <c r="AB49" s="33"/>
    </row>
    <row r="50" spans="1:28" ht="16" thickBot="1">
      <c r="A50" s="34" t="s">
        <v>444</v>
      </c>
      <c r="B50" s="34">
        <v>3</v>
      </c>
      <c r="C50" s="34" t="s">
        <v>445</v>
      </c>
      <c r="D50" s="34" t="s">
        <v>444</v>
      </c>
      <c r="E50" s="34" t="s">
        <v>415</v>
      </c>
      <c r="F50" s="34" t="s">
        <v>446</v>
      </c>
      <c r="G50" s="34" t="s">
        <v>428</v>
      </c>
      <c r="H50" s="34">
        <v>1494484333</v>
      </c>
      <c r="I50" s="34">
        <v>7971863682</v>
      </c>
      <c r="J50" s="34" t="s">
        <v>447</v>
      </c>
      <c r="K50" s="36" t="s">
        <v>448</v>
      </c>
      <c r="L50" s="34" t="s">
        <v>408</v>
      </c>
      <c r="M50" s="34" t="s">
        <v>638</v>
      </c>
      <c r="N50" s="34" t="s">
        <v>639</v>
      </c>
      <c r="O50" s="34" t="s">
        <v>640</v>
      </c>
      <c r="P50" s="35">
        <v>45597</v>
      </c>
      <c r="Q50" s="34" t="s">
        <v>432</v>
      </c>
      <c r="R50" s="34" t="s">
        <v>422</v>
      </c>
      <c r="S50" s="35">
        <v>45069</v>
      </c>
      <c r="T50" s="34">
        <v>205</v>
      </c>
      <c r="U50" s="34" t="s">
        <v>412</v>
      </c>
      <c r="V50" s="34" t="s">
        <v>411</v>
      </c>
      <c r="W50" s="34" t="s">
        <v>641</v>
      </c>
      <c r="X50" s="34" t="s">
        <v>424</v>
      </c>
      <c r="Y50" s="34" t="s">
        <v>642</v>
      </c>
      <c r="Z50" s="33"/>
      <c r="AA50" s="33"/>
      <c r="AB50" s="33"/>
    </row>
    <row r="51" spans="1:28" ht="16" thickBot="1">
      <c r="A51" s="34" t="s">
        <v>643</v>
      </c>
      <c r="B51" s="34">
        <v>1</v>
      </c>
      <c r="C51" s="34" t="s">
        <v>608</v>
      </c>
      <c r="D51" s="34" t="s">
        <v>643</v>
      </c>
      <c r="E51" s="34" t="s">
        <v>478</v>
      </c>
      <c r="F51" s="34" t="s">
        <v>644</v>
      </c>
      <c r="G51" s="34" t="s">
        <v>428</v>
      </c>
      <c r="H51" s="33"/>
      <c r="I51" s="34">
        <v>7799175108</v>
      </c>
      <c r="J51" s="34" t="s">
        <v>645</v>
      </c>
      <c r="K51" s="36" t="s">
        <v>646</v>
      </c>
      <c r="L51" s="34" t="s">
        <v>408</v>
      </c>
      <c r="M51" s="34" t="s">
        <v>409</v>
      </c>
      <c r="N51" s="34" t="s">
        <v>13</v>
      </c>
      <c r="O51" s="34" t="s">
        <v>367</v>
      </c>
      <c r="P51" s="35">
        <v>45601</v>
      </c>
      <c r="Q51" s="34" t="s">
        <v>410</v>
      </c>
      <c r="R51" s="34" t="s">
        <v>422</v>
      </c>
      <c r="S51" s="35">
        <v>45586</v>
      </c>
      <c r="T51" s="34" t="s">
        <v>647</v>
      </c>
      <c r="U51" s="34" t="s">
        <v>412</v>
      </c>
      <c r="V51" s="34" t="s">
        <v>632</v>
      </c>
      <c r="W51" s="34" t="s">
        <v>353</v>
      </c>
      <c r="X51" s="34" t="s">
        <v>340</v>
      </c>
      <c r="Y51" s="33"/>
      <c r="Z51" s="33"/>
      <c r="AA51" s="33"/>
      <c r="AB51" s="33"/>
    </row>
    <row r="52" spans="1:28" ht="16" thickBot="1">
      <c r="A52" s="34" t="s">
        <v>648</v>
      </c>
      <c r="B52" s="34">
        <v>1</v>
      </c>
      <c r="C52" s="34" t="s">
        <v>445</v>
      </c>
      <c r="D52" s="34" t="s">
        <v>648</v>
      </c>
      <c r="E52" s="39" t="s">
        <v>415</v>
      </c>
      <c r="F52" s="34" t="s">
        <v>649</v>
      </c>
      <c r="G52" s="33"/>
      <c r="H52" s="33"/>
      <c r="I52" s="34">
        <v>7816440947</v>
      </c>
      <c r="J52" s="34" t="s">
        <v>254</v>
      </c>
      <c r="K52" s="36" t="s">
        <v>650</v>
      </c>
      <c r="L52" s="34" t="s">
        <v>408</v>
      </c>
      <c r="M52" s="34" t="s">
        <v>420</v>
      </c>
      <c r="N52" s="34" t="s">
        <v>431</v>
      </c>
      <c r="O52" s="34" t="s">
        <v>640</v>
      </c>
      <c r="P52" s="35">
        <v>45604</v>
      </c>
      <c r="Q52" s="34" t="s">
        <v>410</v>
      </c>
      <c r="R52" s="34" t="s">
        <v>551</v>
      </c>
      <c r="S52" s="35">
        <v>45601</v>
      </c>
      <c r="T52" s="34" t="s">
        <v>651</v>
      </c>
      <c r="U52" s="34" t="s">
        <v>412</v>
      </c>
      <c r="V52" s="34" t="s">
        <v>652</v>
      </c>
      <c r="W52" s="34" t="s">
        <v>423</v>
      </c>
      <c r="X52" s="82" t="s">
        <v>424</v>
      </c>
      <c r="Y52" s="83"/>
      <c r="Z52" s="33"/>
      <c r="AA52" s="33"/>
      <c r="AB52" s="33"/>
    </row>
    <row r="53" spans="1:28" ht="16" thickBot="1">
      <c r="A53" s="34" t="s">
        <v>653</v>
      </c>
      <c r="B53" s="34">
        <v>1</v>
      </c>
      <c r="C53" s="34" t="s">
        <v>455</v>
      </c>
      <c r="D53" s="34" t="s">
        <v>653</v>
      </c>
      <c r="E53" s="39" t="s">
        <v>415</v>
      </c>
      <c r="F53" s="34" t="s">
        <v>654</v>
      </c>
      <c r="G53" s="33"/>
      <c r="H53" s="33"/>
      <c r="I53" s="34">
        <v>7785460003</v>
      </c>
      <c r="J53" s="34" t="s">
        <v>655</v>
      </c>
      <c r="K53" s="34" t="s">
        <v>407</v>
      </c>
      <c r="L53" s="34" t="s">
        <v>408</v>
      </c>
      <c r="M53" s="34" t="s">
        <v>409</v>
      </c>
      <c r="N53" s="34" t="s">
        <v>13</v>
      </c>
      <c r="O53" s="34" t="s">
        <v>369</v>
      </c>
      <c r="P53" s="35">
        <v>45610</v>
      </c>
      <c r="Q53" s="34" t="s">
        <v>410</v>
      </c>
      <c r="R53" s="34" t="s">
        <v>422</v>
      </c>
      <c r="S53" s="35">
        <v>45572</v>
      </c>
      <c r="T53" s="34" t="s">
        <v>656</v>
      </c>
      <c r="U53" s="34" t="s">
        <v>412</v>
      </c>
      <c r="V53" s="34" t="s">
        <v>632</v>
      </c>
      <c r="W53" s="34" t="s">
        <v>353</v>
      </c>
      <c r="X53" s="34" t="s">
        <v>340</v>
      </c>
      <c r="Y53" s="33"/>
      <c r="Z53" s="33"/>
      <c r="AA53" s="33"/>
      <c r="AB53" s="33"/>
    </row>
    <row r="54" spans="1:28" ht="16" thickBot="1">
      <c r="A54" s="34" t="s">
        <v>657</v>
      </c>
      <c r="B54" s="34">
        <v>1</v>
      </c>
      <c r="C54" s="34" t="s">
        <v>588</v>
      </c>
      <c r="D54" s="34" t="s">
        <v>658</v>
      </c>
      <c r="E54" s="39" t="s">
        <v>415</v>
      </c>
      <c r="F54" s="34" t="s">
        <v>659</v>
      </c>
      <c r="G54" s="34" t="s">
        <v>428</v>
      </c>
      <c r="H54" s="33"/>
      <c r="I54" s="34">
        <v>7475056553</v>
      </c>
      <c r="J54" s="34" t="s">
        <v>660</v>
      </c>
      <c r="K54" s="36" t="s">
        <v>661</v>
      </c>
      <c r="L54" s="34" t="s">
        <v>408</v>
      </c>
      <c r="M54" s="34" t="s">
        <v>409</v>
      </c>
      <c r="N54" s="34" t="s">
        <v>13</v>
      </c>
      <c r="O54" s="34" t="s">
        <v>369</v>
      </c>
      <c r="P54" s="35">
        <v>45617</v>
      </c>
      <c r="Q54" s="34" t="s">
        <v>410</v>
      </c>
      <c r="R54" s="34" t="s">
        <v>551</v>
      </c>
      <c r="S54" s="35">
        <v>45611</v>
      </c>
      <c r="T54" s="34" t="s">
        <v>662</v>
      </c>
      <c r="U54" s="34" t="s">
        <v>412</v>
      </c>
      <c r="V54" s="34" t="s">
        <v>652</v>
      </c>
      <c r="W54" s="34" t="s">
        <v>353</v>
      </c>
      <c r="X54" s="34" t="s">
        <v>340</v>
      </c>
      <c r="Y54" s="33"/>
      <c r="Z54" s="33"/>
      <c r="AA54" s="33"/>
      <c r="AB54" s="33"/>
    </row>
    <row r="55" spans="1:28" ht="16" thickBot="1">
      <c r="A55" s="34" t="s">
        <v>663</v>
      </c>
      <c r="B55" s="34">
        <v>1</v>
      </c>
      <c r="C55" s="34" t="s">
        <v>434</v>
      </c>
      <c r="D55" s="34" t="s">
        <v>663</v>
      </c>
      <c r="E55" s="39" t="s">
        <v>415</v>
      </c>
      <c r="F55" s="34" t="s">
        <v>664</v>
      </c>
      <c r="G55" s="33"/>
      <c r="H55" s="34">
        <v>1457873479</v>
      </c>
      <c r="I55" s="34">
        <v>7733397831</v>
      </c>
      <c r="J55" s="34" t="s">
        <v>665</v>
      </c>
      <c r="K55" s="36" t="s">
        <v>666</v>
      </c>
      <c r="L55" s="34" t="s">
        <v>408</v>
      </c>
      <c r="M55" s="34" t="s">
        <v>409</v>
      </c>
      <c r="N55" s="34" t="s">
        <v>13</v>
      </c>
      <c r="O55" s="34" t="s">
        <v>370</v>
      </c>
      <c r="P55" s="35">
        <v>45622</v>
      </c>
      <c r="Q55" s="34" t="s">
        <v>410</v>
      </c>
      <c r="R55" s="34" t="s">
        <v>422</v>
      </c>
      <c r="S55" s="35">
        <v>45484</v>
      </c>
      <c r="T55" s="34" t="s">
        <v>667</v>
      </c>
      <c r="U55" s="34" t="s">
        <v>412</v>
      </c>
      <c r="V55" s="34" t="s">
        <v>668</v>
      </c>
      <c r="W55" s="34" t="s">
        <v>353</v>
      </c>
      <c r="X55" s="34" t="s">
        <v>340</v>
      </c>
      <c r="Y55" s="33"/>
      <c r="Z55" s="33"/>
      <c r="AA55" s="33"/>
      <c r="AB55" s="33"/>
    </row>
    <row r="56" spans="1:28" ht="16" thickBot="1">
      <c r="A56" s="34" t="s">
        <v>669</v>
      </c>
      <c r="B56" s="34">
        <v>1</v>
      </c>
      <c r="C56" s="34" t="s">
        <v>670</v>
      </c>
      <c r="D56" s="34" t="s">
        <v>669</v>
      </c>
      <c r="E56" s="39" t="s">
        <v>415</v>
      </c>
      <c r="F56" s="39" t="s">
        <v>671</v>
      </c>
      <c r="G56" s="33"/>
      <c r="H56" s="33"/>
      <c r="I56" s="39">
        <v>7391277028</v>
      </c>
      <c r="J56" s="39" t="s">
        <v>672</v>
      </c>
      <c r="K56" s="36" t="s">
        <v>673</v>
      </c>
      <c r="L56" s="34" t="s">
        <v>408</v>
      </c>
      <c r="M56" s="34" t="s">
        <v>409</v>
      </c>
      <c r="N56" s="34" t="s">
        <v>36</v>
      </c>
      <c r="O56" s="34" t="s">
        <v>674</v>
      </c>
      <c r="P56" s="35">
        <v>45623</v>
      </c>
      <c r="Q56" s="34" t="s">
        <v>410</v>
      </c>
      <c r="R56" s="34" t="s">
        <v>551</v>
      </c>
      <c r="S56" s="35">
        <v>45615</v>
      </c>
      <c r="T56" s="34" t="s">
        <v>675</v>
      </c>
      <c r="U56" s="34" t="s">
        <v>412</v>
      </c>
      <c r="V56" s="34" t="s">
        <v>613</v>
      </c>
      <c r="W56" s="34" t="s">
        <v>353</v>
      </c>
      <c r="X56" s="34" t="s">
        <v>340</v>
      </c>
      <c r="Y56" s="33"/>
      <c r="Z56" s="33"/>
      <c r="AA56" s="33"/>
      <c r="AB56" s="33"/>
    </row>
    <row r="57" spans="1:28" ht="16" thickBot="1">
      <c r="A57" s="34" t="s">
        <v>676</v>
      </c>
      <c r="B57" s="34">
        <v>1</v>
      </c>
      <c r="C57" s="34" t="s">
        <v>608</v>
      </c>
      <c r="D57" s="34" t="s">
        <v>676</v>
      </c>
      <c r="E57" s="39" t="s">
        <v>415</v>
      </c>
      <c r="F57" s="40" t="s">
        <v>677</v>
      </c>
      <c r="G57" s="34" t="s">
        <v>417</v>
      </c>
      <c r="H57" s="33"/>
      <c r="I57" s="40">
        <v>7426059209</v>
      </c>
      <c r="J57" s="40" t="s">
        <v>678</v>
      </c>
      <c r="K57" s="36" t="s">
        <v>679</v>
      </c>
      <c r="L57" s="34" t="s">
        <v>408</v>
      </c>
      <c r="M57" s="34" t="s">
        <v>409</v>
      </c>
      <c r="N57" s="34" t="s">
        <v>13</v>
      </c>
      <c r="O57" s="34" t="s">
        <v>369</v>
      </c>
      <c r="P57" s="35">
        <v>45625</v>
      </c>
      <c r="Q57" s="34" t="s">
        <v>410</v>
      </c>
      <c r="R57" s="34" t="s">
        <v>422</v>
      </c>
      <c r="S57" s="35">
        <v>45618</v>
      </c>
      <c r="T57" s="34" t="s">
        <v>680</v>
      </c>
      <c r="U57" s="34" t="s">
        <v>412</v>
      </c>
      <c r="V57" s="34" t="s">
        <v>681</v>
      </c>
      <c r="W57" s="34" t="s">
        <v>353</v>
      </c>
      <c r="X57" s="34" t="s">
        <v>340</v>
      </c>
      <c r="Y57" s="33"/>
      <c r="Z57" s="33"/>
      <c r="AA57" s="33"/>
      <c r="AB57" s="33"/>
    </row>
    <row r="58" spans="1:28" ht="16" thickBot="1">
      <c r="A58" s="34" t="s">
        <v>682</v>
      </c>
      <c r="B58" s="34">
        <v>1</v>
      </c>
      <c r="C58" s="34" t="s">
        <v>683</v>
      </c>
      <c r="D58" s="34" t="s">
        <v>682</v>
      </c>
      <c r="E58" s="39" t="s">
        <v>415</v>
      </c>
      <c r="F58" s="40" t="s">
        <v>684</v>
      </c>
      <c r="G58" s="34" t="s">
        <v>417</v>
      </c>
      <c r="H58" s="33"/>
      <c r="I58" s="40">
        <v>7823714814</v>
      </c>
      <c r="J58" s="40" t="s">
        <v>685</v>
      </c>
      <c r="K58" s="36" t="s">
        <v>686</v>
      </c>
      <c r="L58" s="34" t="s">
        <v>408</v>
      </c>
      <c r="M58" s="34" t="s">
        <v>420</v>
      </c>
      <c r="N58" s="34" t="s">
        <v>431</v>
      </c>
      <c r="O58" s="34" t="s">
        <v>687</v>
      </c>
      <c r="P58" s="35">
        <v>45629</v>
      </c>
      <c r="Q58" s="34" t="s">
        <v>410</v>
      </c>
      <c r="R58" s="34" t="s">
        <v>551</v>
      </c>
      <c r="S58" s="35">
        <v>45615</v>
      </c>
      <c r="T58" s="34" t="s">
        <v>688</v>
      </c>
      <c r="U58" s="34" t="s">
        <v>412</v>
      </c>
      <c r="V58" s="40" t="s">
        <v>689</v>
      </c>
      <c r="W58" s="34" t="s">
        <v>423</v>
      </c>
      <c r="X58" s="82" t="s">
        <v>424</v>
      </c>
      <c r="Y58" s="83"/>
      <c r="Z58" s="33"/>
      <c r="AA58" s="33"/>
      <c r="AB58" s="33"/>
    </row>
    <row r="59" spans="1:28" ht="16" thickBot="1">
      <c r="A59" s="34" t="s">
        <v>690</v>
      </c>
      <c r="B59" s="34">
        <v>1</v>
      </c>
      <c r="C59" s="34" t="s">
        <v>500</v>
      </c>
      <c r="D59" s="34" t="s">
        <v>690</v>
      </c>
      <c r="E59" s="34" t="s">
        <v>478</v>
      </c>
      <c r="F59" s="40" t="s">
        <v>691</v>
      </c>
      <c r="G59" s="33"/>
      <c r="H59" s="40">
        <v>1308456274</v>
      </c>
      <c r="I59" s="40">
        <v>7984016401</v>
      </c>
      <c r="J59" s="40" t="s">
        <v>692</v>
      </c>
      <c r="K59" s="36" t="s">
        <v>693</v>
      </c>
      <c r="L59" s="34" t="s">
        <v>408</v>
      </c>
      <c r="M59" s="34" t="s">
        <v>409</v>
      </c>
      <c r="N59" s="34" t="s">
        <v>36</v>
      </c>
      <c r="O59" s="34" t="s">
        <v>370</v>
      </c>
      <c r="P59" s="35">
        <v>45629</v>
      </c>
      <c r="Q59" s="34" t="s">
        <v>410</v>
      </c>
      <c r="R59" s="34" t="s">
        <v>551</v>
      </c>
      <c r="S59" s="35">
        <v>45626</v>
      </c>
      <c r="T59" s="34" t="s">
        <v>680</v>
      </c>
      <c r="U59" s="34" t="s">
        <v>412</v>
      </c>
      <c r="V59" s="40" t="s">
        <v>681</v>
      </c>
      <c r="W59" s="34" t="s">
        <v>353</v>
      </c>
      <c r="X59" s="34" t="s">
        <v>340</v>
      </c>
      <c r="Y59" s="33"/>
      <c r="Z59" s="33"/>
      <c r="AA59" s="33"/>
      <c r="AB59" s="33"/>
    </row>
    <row r="60" spans="1:28" ht="16" thickBot="1">
      <c r="A60" s="34" t="s">
        <v>694</v>
      </c>
      <c r="B60" s="34">
        <v>1</v>
      </c>
      <c r="C60" s="34" t="s">
        <v>695</v>
      </c>
      <c r="D60" s="34" t="s">
        <v>694</v>
      </c>
      <c r="E60" s="34" t="s">
        <v>415</v>
      </c>
      <c r="F60" s="34" t="s">
        <v>696</v>
      </c>
      <c r="G60" s="34" t="s">
        <v>417</v>
      </c>
      <c r="H60" s="33"/>
      <c r="I60" s="34">
        <v>7897668516</v>
      </c>
      <c r="J60" s="34" t="s">
        <v>697</v>
      </c>
      <c r="K60" s="36" t="s">
        <v>698</v>
      </c>
      <c r="L60" s="34" t="s">
        <v>408</v>
      </c>
      <c r="M60" s="34" t="s">
        <v>409</v>
      </c>
      <c r="N60" s="34" t="s">
        <v>13</v>
      </c>
      <c r="O60" s="34" t="s">
        <v>475</v>
      </c>
      <c r="P60" s="35">
        <v>45636</v>
      </c>
      <c r="Q60" s="34" t="s">
        <v>410</v>
      </c>
      <c r="R60" s="34" t="s">
        <v>551</v>
      </c>
      <c r="S60" s="35">
        <v>45635</v>
      </c>
      <c r="T60" s="34" t="s">
        <v>699</v>
      </c>
      <c r="U60" s="34" t="s">
        <v>412</v>
      </c>
      <c r="V60" s="34" t="s">
        <v>681</v>
      </c>
      <c r="W60" s="34" t="s">
        <v>353</v>
      </c>
      <c r="X60" s="34" t="s">
        <v>340</v>
      </c>
      <c r="Y60" s="33"/>
      <c r="Z60" s="33"/>
      <c r="AA60" s="33"/>
      <c r="AB60" s="33"/>
    </row>
    <row r="61" spans="1:28" ht="16" thickBot="1">
      <c r="A61" s="34" t="s">
        <v>700</v>
      </c>
      <c r="B61" s="34">
        <v>1</v>
      </c>
      <c r="C61" s="34" t="s">
        <v>626</v>
      </c>
      <c r="D61" s="34" t="s">
        <v>700</v>
      </c>
      <c r="E61" s="34" t="s">
        <v>627</v>
      </c>
      <c r="F61" s="40" t="s">
        <v>701</v>
      </c>
      <c r="G61" s="33"/>
      <c r="H61" s="33"/>
      <c r="I61" s="40">
        <v>7935151568</v>
      </c>
      <c r="J61" s="40" t="s">
        <v>702</v>
      </c>
      <c r="K61" s="34" t="s">
        <v>407</v>
      </c>
      <c r="L61" s="34" t="s">
        <v>408</v>
      </c>
      <c r="M61" s="34" t="s">
        <v>420</v>
      </c>
      <c r="N61" s="34" t="s">
        <v>431</v>
      </c>
      <c r="O61" s="34" t="s">
        <v>703</v>
      </c>
      <c r="P61" s="35">
        <v>45638</v>
      </c>
      <c r="Q61" s="34" t="s">
        <v>410</v>
      </c>
      <c r="R61" s="34" t="s">
        <v>551</v>
      </c>
      <c r="S61" s="35">
        <v>45552</v>
      </c>
      <c r="T61" s="34" t="s">
        <v>704</v>
      </c>
      <c r="U61" s="34" t="s">
        <v>412</v>
      </c>
      <c r="V61" s="40" t="s">
        <v>613</v>
      </c>
      <c r="W61" s="34" t="s">
        <v>423</v>
      </c>
      <c r="X61" s="82" t="s">
        <v>424</v>
      </c>
      <c r="Y61" s="83"/>
      <c r="Z61" s="33"/>
      <c r="AA61" s="33"/>
      <c r="AB61" s="33"/>
    </row>
    <row r="62" spans="1:28" ht="16" thickBot="1">
      <c r="A62" s="34" t="s">
        <v>705</v>
      </c>
      <c r="B62" s="34">
        <v>1</v>
      </c>
      <c r="C62" s="34" t="s">
        <v>500</v>
      </c>
      <c r="D62" s="34" t="s">
        <v>706</v>
      </c>
      <c r="E62" s="34" t="s">
        <v>415</v>
      </c>
      <c r="F62" s="40" t="s">
        <v>707</v>
      </c>
      <c r="G62" s="34" t="s">
        <v>417</v>
      </c>
      <c r="H62" s="33"/>
      <c r="I62" s="40">
        <v>7448487279</v>
      </c>
      <c r="J62" s="40" t="s">
        <v>708</v>
      </c>
      <c r="K62" s="36" t="s">
        <v>709</v>
      </c>
      <c r="L62" s="34" t="s">
        <v>408</v>
      </c>
      <c r="M62" s="34" t="s">
        <v>409</v>
      </c>
      <c r="N62" s="34" t="s">
        <v>13</v>
      </c>
      <c r="O62" s="34" t="s">
        <v>640</v>
      </c>
      <c r="P62" s="35">
        <v>45644</v>
      </c>
      <c r="Q62" s="34" t="s">
        <v>410</v>
      </c>
      <c r="R62" s="34" t="s">
        <v>551</v>
      </c>
      <c r="S62" s="35">
        <v>45629</v>
      </c>
      <c r="T62" s="34" t="s">
        <v>710</v>
      </c>
      <c r="U62" s="34" t="s">
        <v>412</v>
      </c>
      <c r="V62" s="40" t="s">
        <v>632</v>
      </c>
      <c r="W62" s="34" t="s">
        <v>353</v>
      </c>
      <c r="X62" s="34" t="s">
        <v>340</v>
      </c>
      <c r="Y62" s="33"/>
      <c r="Z62" s="33"/>
      <c r="AA62" s="33"/>
      <c r="AB62" s="33"/>
    </row>
    <row r="63" spans="1:28" ht="16" thickBot="1">
      <c r="A63" s="34" t="s">
        <v>711</v>
      </c>
      <c r="B63" s="34">
        <v>1</v>
      </c>
      <c r="C63" s="34" t="s">
        <v>712</v>
      </c>
      <c r="D63" s="34" t="s">
        <v>711</v>
      </c>
      <c r="E63" s="34" t="s">
        <v>415</v>
      </c>
      <c r="F63" s="40" t="s">
        <v>713</v>
      </c>
      <c r="G63" s="33"/>
      <c r="H63" s="33"/>
      <c r="I63" s="40">
        <v>7877747928</v>
      </c>
      <c r="J63" s="40" t="s">
        <v>714</v>
      </c>
      <c r="K63" s="36" t="s">
        <v>715</v>
      </c>
      <c r="L63" s="34" t="s">
        <v>408</v>
      </c>
      <c r="M63" s="34" t="s">
        <v>409</v>
      </c>
      <c r="N63" s="34" t="s">
        <v>13</v>
      </c>
      <c r="O63" s="34" t="s">
        <v>382</v>
      </c>
      <c r="P63" s="35">
        <v>45657</v>
      </c>
      <c r="Q63" s="34" t="s">
        <v>410</v>
      </c>
      <c r="R63" s="34" t="s">
        <v>422</v>
      </c>
      <c r="S63" s="35">
        <v>45561</v>
      </c>
      <c r="T63" s="34" t="s">
        <v>716</v>
      </c>
      <c r="U63" s="34" t="s">
        <v>412</v>
      </c>
      <c r="V63" s="34" t="s">
        <v>717</v>
      </c>
      <c r="W63" s="34" t="s">
        <v>353</v>
      </c>
      <c r="X63" s="34" t="s">
        <v>340</v>
      </c>
      <c r="Y63" s="33"/>
      <c r="Z63" s="33"/>
      <c r="AA63" s="33"/>
      <c r="AB63" s="33"/>
    </row>
    <row r="64" spans="1:28" ht="16" thickBot="1">
      <c r="A64" s="34" t="s">
        <v>648</v>
      </c>
      <c r="B64" s="34">
        <v>2</v>
      </c>
      <c r="C64" s="34" t="s">
        <v>445</v>
      </c>
      <c r="D64" s="34" t="s">
        <v>648</v>
      </c>
      <c r="E64" s="34" t="s">
        <v>415</v>
      </c>
      <c r="F64" s="40" t="s">
        <v>649</v>
      </c>
      <c r="G64" s="33"/>
      <c r="H64" s="33"/>
      <c r="I64" s="40">
        <v>7816440947</v>
      </c>
      <c r="J64" s="40" t="s">
        <v>254</v>
      </c>
      <c r="K64" s="36" t="s">
        <v>650</v>
      </c>
      <c r="L64" s="34" t="s">
        <v>408</v>
      </c>
      <c r="M64" s="34" t="s">
        <v>409</v>
      </c>
      <c r="N64" s="34" t="s">
        <v>13</v>
      </c>
      <c r="O64" s="34" t="s">
        <v>369</v>
      </c>
      <c r="P64" s="35">
        <v>45667</v>
      </c>
      <c r="Q64" s="34" t="s">
        <v>432</v>
      </c>
      <c r="R64" s="34" t="s">
        <v>551</v>
      </c>
      <c r="S64" s="35">
        <v>45601</v>
      </c>
      <c r="T64" s="34" t="s">
        <v>651</v>
      </c>
      <c r="U64" s="34" t="s">
        <v>412</v>
      </c>
      <c r="V64" s="40" t="s">
        <v>652</v>
      </c>
      <c r="W64" s="34" t="s">
        <v>353</v>
      </c>
      <c r="X64" s="34" t="s">
        <v>340</v>
      </c>
      <c r="Y64" s="33"/>
      <c r="Z64" s="33"/>
      <c r="AA64" s="33"/>
      <c r="AB64" s="33"/>
    </row>
    <row r="65" spans="1:28" ht="16" thickBot="1">
      <c r="A65" s="34" t="s">
        <v>718</v>
      </c>
      <c r="B65" s="34">
        <v>1</v>
      </c>
      <c r="C65" s="34" t="s">
        <v>440</v>
      </c>
      <c r="D65" s="34" t="s">
        <v>718</v>
      </c>
      <c r="E65" s="34" t="s">
        <v>415</v>
      </c>
      <c r="F65" s="40" t="s">
        <v>719</v>
      </c>
      <c r="G65" s="33"/>
      <c r="H65" s="33"/>
      <c r="I65" s="40">
        <v>7710131416</v>
      </c>
      <c r="J65" s="40" t="s">
        <v>720</v>
      </c>
      <c r="K65" s="36" t="s">
        <v>721</v>
      </c>
      <c r="L65" s="34" t="s">
        <v>408</v>
      </c>
      <c r="M65" s="34" t="s">
        <v>409</v>
      </c>
      <c r="N65" s="34" t="s">
        <v>13</v>
      </c>
      <c r="O65" s="34" t="s">
        <v>517</v>
      </c>
      <c r="P65" s="35">
        <v>45674</v>
      </c>
      <c r="Q65" s="34" t="s">
        <v>410</v>
      </c>
      <c r="R65" s="34" t="s">
        <v>551</v>
      </c>
      <c r="S65" s="35">
        <v>45673</v>
      </c>
      <c r="T65" s="34" t="s">
        <v>722</v>
      </c>
      <c r="U65" s="34" t="s">
        <v>412</v>
      </c>
      <c r="V65" s="40" t="s">
        <v>93</v>
      </c>
      <c r="W65" s="34" t="s">
        <v>353</v>
      </c>
      <c r="X65" s="34" t="s">
        <v>340</v>
      </c>
      <c r="Y65" s="33"/>
      <c r="Z65" s="33"/>
      <c r="AA65" s="33"/>
      <c r="AB65" s="33"/>
    </row>
    <row r="66" spans="1:28" ht="16" thickBot="1">
      <c r="A66" s="34" t="s">
        <v>723</v>
      </c>
      <c r="B66" s="34">
        <v>1</v>
      </c>
      <c r="C66" s="34" t="s">
        <v>541</v>
      </c>
      <c r="D66" s="34" t="s">
        <v>723</v>
      </c>
      <c r="E66" s="34" t="s">
        <v>415</v>
      </c>
      <c r="F66" s="40" t="s">
        <v>724</v>
      </c>
      <c r="G66" s="33"/>
      <c r="H66" s="33"/>
      <c r="I66" s="40">
        <v>7411112207</v>
      </c>
      <c r="J66" s="40" t="s">
        <v>725</v>
      </c>
      <c r="K66" s="36" t="s">
        <v>726</v>
      </c>
      <c r="L66" s="34" t="s">
        <v>408</v>
      </c>
      <c r="M66" s="34" t="s">
        <v>409</v>
      </c>
      <c r="N66" s="34" t="s">
        <v>13</v>
      </c>
      <c r="O66" s="34" t="s">
        <v>727</v>
      </c>
      <c r="P66" s="35">
        <v>45677</v>
      </c>
      <c r="Q66" s="34" t="s">
        <v>410</v>
      </c>
      <c r="R66" s="34" t="s">
        <v>551</v>
      </c>
      <c r="S66" s="35">
        <v>45670</v>
      </c>
      <c r="T66" s="34" t="s">
        <v>728</v>
      </c>
      <c r="U66" s="34" t="s">
        <v>412</v>
      </c>
      <c r="V66" s="40" t="s">
        <v>632</v>
      </c>
      <c r="W66" s="34" t="s">
        <v>353</v>
      </c>
      <c r="X66" s="34" t="s">
        <v>340</v>
      </c>
      <c r="Y66" s="33"/>
      <c r="Z66" s="33"/>
      <c r="AA66" s="33"/>
      <c r="AB66" s="33"/>
    </row>
    <row r="67" spans="1:28" ht="16" thickBot="1">
      <c r="A67" s="34" t="s">
        <v>676</v>
      </c>
      <c r="B67" s="34">
        <v>2</v>
      </c>
      <c r="C67" s="34" t="s">
        <v>608</v>
      </c>
      <c r="D67" s="34" t="s">
        <v>676</v>
      </c>
      <c r="E67" s="39" t="s">
        <v>415</v>
      </c>
      <c r="F67" s="40" t="s">
        <v>677</v>
      </c>
      <c r="G67" s="34" t="s">
        <v>417</v>
      </c>
      <c r="H67" s="33"/>
      <c r="I67" s="40">
        <v>7426059209</v>
      </c>
      <c r="J67" s="40" t="s">
        <v>678</v>
      </c>
      <c r="K67" s="36" t="s">
        <v>679</v>
      </c>
      <c r="L67" s="34" t="s">
        <v>408</v>
      </c>
      <c r="M67" s="34" t="s">
        <v>420</v>
      </c>
      <c r="N67" s="34" t="s">
        <v>431</v>
      </c>
      <c r="O67" s="34" t="s">
        <v>370</v>
      </c>
      <c r="P67" s="35">
        <v>45678</v>
      </c>
      <c r="Q67" s="34" t="s">
        <v>432</v>
      </c>
      <c r="R67" s="34" t="s">
        <v>422</v>
      </c>
      <c r="S67" s="35">
        <v>45618</v>
      </c>
      <c r="T67" s="34" t="s">
        <v>680</v>
      </c>
      <c r="U67" s="34" t="s">
        <v>412</v>
      </c>
      <c r="V67" s="34" t="s">
        <v>681</v>
      </c>
      <c r="W67" s="34" t="s">
        <v>423</v>
      </c>
      <c r="X67" s="82" t="s">
        <v>424</v>
      </c>
      <c r="Y67" s="83"/>
      <c r="Z67" s="33"/>
      <c r="AA67" s="33"/>
      <c r="AB67" s="33"/>
    </row>
    <row r="68" spans="1:28" ht="16" thickBot="1">
      <c r="A68" s="34" t="s">
        <v>729</v>
      </c>
      <c r="B68" s="34">
        <v>2</v>
      </c>
      <c r="C68" s="34" t="s">
        <v>712</v>
      </c>
      <c r="D68" s="34" t="s">
        <v>729</v>
      </c>
      <c r="E68" s="39" t="s">
        <v>415</v>
      </c>
      <c r="F68" s="40" t="s">
        <v>730</v>
      </c>
      <c r="G68" s="33"/>
      <c r="H68" s="33"/>
      <c r="I68" s="40">
        <v>7957656773</v>
      </c>
      <c r="J68" s="40" t="s">
        <v>731</v>
      </c>
      <c r="K68" s="36" t="s">
        <v>732</v>
      </c>
      <c r="L68" s="34" t="s">
        <v>408</v>
      </c>
      <c r="M68" s="34" t="s">
        <v>409</v>
      </c>
      <c r="N68" s="34" t="s">
        <v>13</v>
      </c>
      <c r="O68" s="34" t="s">
        <v>352</v>
      </c>
      <c r="P68" s="35">
        <v>45685</v>
      </c>
      <c r="Q68" s="34" t="s">
        <v>432</v>
      </c>
      <c r="R68" s="34" t="s">
        <v>551</v>
      </c>
      <c r="S68" s="35">
        <v>45643</v>
      </c>
      <c r="T68" s="34" t="s">
        <v>733</v>
      </c>
      <c r="U68" s="34" t="s">
        <v>412</v>
      </c>
      <c r="V68" s="40" t="s">
        <v>734</v>
      </c>
      <c r="W68" s="34" t="s">
        <v>353</v>
      </c>
      <c r="X68" s="34" t="s">
        <v>340</v>
      </c>
      <c r="Y68" s="33"/>
      <c r="Z68" s="33"/>
      <c r="AA68" s="33"/>
      <c r="AB68" s="33"/>
    </row>
    <row r="69" spans="1:28" ht="16" thickBot="1">
      <c r="A69" s="34" t="s">
        <v>735</v>
      </c>
      <c r="B69" s="34">
        <v>1</v>
      </c>
      <c r="C69" s="34" t="s">
        <v>736</v>
      </c>
      <c r="D69" s="34" t="s">
        <v>735</v>
      </c>
      <c r="E69" s="34" t="s">
        <v>627</v>
      </c>
      <c r="F69" s="40" t="s">
        <v>737</v>
      </c>
      <c r="G69" s="34" t="s">
        <v>428</v>
      </c>
      <c r="H69" s="33"/>
      <c r="I69" s="40">
        <v>7910781802</v>
      </c>
      <c r="J69" s="40" t="s">
        <v>738</v>
      </c>
      <c r="K69" s="36" t="s">
        <v>739</v>
      </c>
      <c r="L69" s="34" t="s">
        <v>408</v>
      </c>
      <c r="M69" s="34" t="s">
        <v>409</v>
      </c>
      <c r="N69" s="34" t="s">
        <v>13</v>
      </c>
      <c r="O69" s="34" t="s">
        <v>382</v>
      </c>
      <c r="P69" s="35">
        <v>45686</v>
      </c>
      <c r="Q69" s="34" t="s">
        <v>410</v>
      </c>
      <c r="R69" s="34" t="s">
        <v>422</v>
      </c>
      <c r="S69" s="35">
        <v>45681</v>
      </c>
      <c r="T69" s="34" t="s">
        <v>740</v>
      </c>
      <c r="U69" s="34" t="s">
        <v>412</v>
      </c>
      <c r="V69" s="40" t="s">
        <v>624</v>
      </c>
      <c r="W69" s="34" t="s">
        <v>353</v>
      </c>
      <c r="X69" s="34" t="s">
        <v>340</v>
      </c>
      <c r="Y69" s="33"/>
      <c r="Z69" s="33"/>
      <c r="AA69" s="33"/>
      <c r="AB69" s="33"/>
    </row>
    <row r="70" spans="1:28" ht="16" thickBot="1">
      <c r="A70" s="34" t="s">
        <v>741</v>
      </c>
      <c r="B70" s="34">
        <v>1</v>
      </c>
      <c r="C70" s="34" t="s">
        <v>521</v>
      </c>
      <c r="D70" s="34" t="s">
        <v>741</v>
      </c>
      <c r="E70" s="39" t="s">
        <v>415</v>
      </c>
      <c r="F70" s="40" t="s">
        <v>742</v>
      </c>
      <c r="G70" s="33"/>
      <c r="H70" s="33"/>
      <c r="I70" s="40">
        <v>7899714173</v>
      </c>
      <c r="J70" s="40" t="s">
        <v>743</v>
      </c>
      <c r="K70" s="36" t="s">
        <v>744</v>
      </c>
      <c r="L70" s="34" t="s">
        <v>408</v>
      </c>
      <c r="M70" s="34" t="s">
        <v>420</v>
      </c>
      <c r="N70" s="34" t="s">
        <v>431</v>
      </c>
      <c r="O70" s="34" t="s">
        <v>640</v>
      </c>
      <c r="P70" s="35">
        <v>45687</v>
      </c>
      <c r="Q70" s="34" t="s">
        <v>410</v>
      </c>
      <c r="R70" s="34" t="s">
        <v>551</v>
      </c>
      <c r="S70" s="35">
        <v>45681</v>
      </c>
      <c r="T70" s="34" t="s">
        <v>745</v>
      </c>
      <c r="U70" s="34" t="s">
        <v>412</v>
      </c>
      <c r="V70" s="40" t="s">
        <v>746</v>
      </c>
      <c r="W70" s="34" t="s">
        <v>423</v>
      </c>
      <c r="X70" s="82" t="s">
        <v>424</v>
      </c>
      <c r="Y70" s="83"/>
      <c r="Z70" s="33"/>
      <c r="AA70" s="33"/>
      <c r="AB70" s="33"/>
    </row>
    <row r="71" spans="1:28" ht="16" thickBot="1">
      <c r="A71" s="34" t="s">
        <v>747</v>
      </c>
      <c r="B71" s="34">
        <v>1</v>
      </c>
      <c r="C71" s="34" t="s">
        <v>513</v>
      </c>
      <c r="D71" s="34" t="s">
        <v>747</v>
      </c>
      <c r="E71" s="39" t="s">
        <v>415</v>
      </c>
      <c r="F71" s="40" t="s">
        <v>748</v>
      </c>
      <c r="G71" s="33"/>
      <c r="H71" s="33"/>
      <c r="I71" s="40">
        <v>7878385876</v>
      </c>
      <c r="J71" s="40" t="s">
        <v>749</v>
      </c>
      <c r="K71" s="36" t="s">
        <v>750</v>
      </c>
      <c r="L71" s="34" t="s">
        <v>408</v>
      </c>
      <c r="M71" s="34" t="s">
        <v>409</v>
      </c>
      <c r="N71" s="34" t="s">
        <v>13</v>
      </c>
      <c r="O71" s="34" t="s">
        <v>370</v>
      </c>
      <c r="P71" s="35">
        <v>45688</v>
      </c>
      <c r="Q71" s="34" t="s">
        <v>410</v>
      </c>
      <c r="R71" s="34" t="s">
        <v>551</v>
      </c>
      <c r="S71" s="35">
        <v>45685</v>
      </c>
      <c r="T71" s="34" t="s">
        <v>751</v>
      </c>
      <c r="U71" s="34" t="s">
        <v>412</v>
      </c>
      <c r="V71" s="40" t="s">
        <v>624</v>
      </c>
      <c r="W71" s="34" t="s">
        <v>353</v>
      </c>
      <c r="X71" s="34" t="s">
        <v>340</v>
      </c>
      <c r="Y71" s="33"/>
      <c r="Z71" s="33"/>
      <c r="AA71" s="33"/>
      <c r="AB71" s="33"/>
    </row>
    <row r="72" spans="1:28" ht="16" thickBot="1">
      <c r="A72" s="34" t="s">
        <v>752</v>
      </c>
      <c r="B72" s="34">
        <v>1</v>
      </c>
      <c r="C72" s="34" t="s">
        <v>426</v>
      </c>
      <c r="D72" s="34" t="s">
        <v>752</v>
      </c>
      <c r="E72" s="39" t="s">
        <v>415</v>
      </c>
      <c r="F72" s="40" t="s">
        <v>753</v>
      </c>
      <c r="G72" s="33"/>
      <c r="H72" s="33"/>
      <c r="I72" s="40">
        <v>7787144558</v>
      </c>
      <c r="J72" s="40" t="s">
        <v>754</v>
      </c>
      <c r="K72" s="36" t="s">
        <v>755</v>
      </c>
      <c r="L72" s="34" t="s">
        <v>408</v>
      </c>
      <c r="M72" s="34" t="s">
        <v>409</v>
      </c>
      <c r="N72" s="34" t="s">
        <v>13</v>
      </c>
      <c r="O72" s="34" t="s">
        <v>559</v>
      </c>
      <c r="P72" s="35">
        <v>45688</v>
      </c>
      <c r="Q72" s="34" t="s">
        <v>410</v>
      </c>
      <c r="R72" s="34" t="s">
        <v>551</v>
      </c>
      <c r="S72" s="35">
        <v>45688</v>
      </c>
      <c r="T72" s="34" t="s">
        <v>756</v>
      </c>
      <c r="U72" s="34" t="s">
        <v>412</v>
      </c>
      <c r="V72" s="40" t="s">
        <v>757</v>
      </c>
      <c r="W72" s="34" t="s">
        <v>353</v>
      </c>
      <c r="X72" s="34" t="s">
        <v>340</v>
      </c>
      <c r="Y72" s="33"/>
      <c r="Z72" s="33"/>
      <c r="AA72" s="33"/>
      <c r="AB72" s="33"/>
    </row>
    <row r="73" spans="1:28" ht="16" thickBot="1">
      <c r="A73" s="34" t="s">
        <v>758</v>
      </c>
      <c r="B73" s="34">
        <v>1</v>
      </c>
      <c r="C73" s="34" t="s">
        <v>588</v>
      </c>
      <c r="D73" s="34" t="s">
        <v>758</v>
      </c>
      <c r="E73" s="39" t="s">
        <v>415</v>
      </c>
      <c r="F73" s="40" t="s">
        <v>759</v>
      </c>
      <c r="G73" s="34" t="s">
        <v>428</v>
      </c>
      <c r="H73" s="33"/>
      <c r="I73" s="40">
        <v>7848890841</v>
      </c>
      <c r="J73" s="40" t="s">
        <v>760</v>
      </c>
      <c r="K73" s="34" t="s">
        <v>407</v>
      </c>
      <c r="L73" s="34" t="s">
        <v>408</v>
      </c>
      <c r="M73" s="34" t="s">
        <v>409</v>
      </c>
      <c r="N73" s="34" t="s">
        <v>13</v>
      </c>
      <c r="O73" s="34" t="s">
        <v>370</v>
      </c>
      <c r="P73" s="35">
        <v>45692</v>
      </c>
      <c r="Q73" s="34" t="s">
        <v>410</v>
      </c>
      <c r="R73" s="34" t="s">
        <v>551</v>
      </c>
      <c r="S73" s="35">
        <v>45665</v>
      </c>
      <c r="T73" s="34" t="s">
        <v>761</v>
      </c>
      <c r="U73" s="34" t="s">
        <v>412</v>
      </c>
      <c r="V73" s="40" t="s">
        <v>762</v>
      </c>
      <c r="W73" s="34" t="s">
        <v>353</v>
      </c>
      <c r="X73" s="34" t="s">
        <v>340</v>
      </c>
      <c r="Y73" s="33"/>
      <c r="Z73" s="33"/>
      <c r="AA73" s="33"/>
      <c r="AB73" s="33"/>
    </row>
    <row r="74" spans="1:28" ht="16" thickBot="1">
      <c r="A74" s="34" t="s">
        <v>700</v>
      </c>
      <c r="B74" s="34">
        <v>2</v>
      </c>
      <c r="C74" s="34" t="s">
        <v>626</v>
      </c>
      <c r="D74" s="34" t="s">
        <v>700</v>
      </c>
      <c r="E74" s="34" t="s">
        <v>627</v>
      </c>
      <c r="F74" s="34" t="s">
        <v>701</v>
      </c>
      <c r="G74" s="33"/>
      <c r="H74" s="33"/>
      <c r="I74" s="34">
        <v>7935151568</v>
      </c>
      <c r="J74" s="34" t="s">
        <v>702</v>
      </c>
      <c r="K74" s="34" t="s">
        <v>407</v>
      </c>
      <c r="L74" s="34" t="s">
        <v>408</v>
      </c>
      <c r="M74" s="34" t="s">
        <v>420</v>
      </c>
      <c r="N74" s="34" t="s">
        <v>431</v>
      </c>
      <c r="O74" s="34" t="s">
        <v>640</v>
      </c>
      <c r="P74" s="35">
        <v>45694</v>
      </c>
      <c r="Q74" s="34" t="s">
        <v>432</v>
      </c>
      <c r="R74" s="34" t="s">
        <v>551</v>
      </c>
      <c r="S74" s="35">
        <v>45552</v>
      </c>
      <c r="T74" s="34" t="s">
        <v>704</v>
      </c>
      <c r="U74" s="34" t="s">
        <v>412</v>
      </c>
      <c r="V74" s="34" t="s">
        <v>613</v>
      </c>
      <c r="W74" s="34" t="s">
        <v>423</v>
      </c>
      <c r="X74" s="82" t="s">
        <v>424</v>
      </c>
      <c r="Y74" s="83"/>
      <c r="Z74" s="33"/>
      <c r="AA74" s="33"/>
      <c r="AB74" s="33"/>
    </row>
    <row r="75" spans="1:28" ht="16" thickBot="1">
      <c r="A75" s="34" t="s">
        <v>700</v>
      </c>
      <c r="B75" s="34">
        <v>3</v>
      </c>
      <c r="C75" s="34" t="s">
        <v>626</v>
      </c>
      <c r="D75" s="34" t="s">
        <v>700</v>
      </c>
      <c r="E75" s="34" t="s">
        <v>627</v>
      </c>
      <c r="F75" s="34" t="s">
        <v>701</v>
      </c>
      <c r="G75" s="33"/>
      <c r="H75" s="33"/>
      <c r="I75" s="34">
        <v>7935151568</v>
      </c>
      <c r="J75" s="34" t="s">
        <v>702</v>
      </c>
      <c r="K75" s="34" t="s">
        <v>407</v>
      </c>
      <c r="L75" s="34" t="s">
        <v>408</v>
      </c>
      <c r="M75" s="34" t="s">
        <v>420</v>
      </c>
      <c r="N75" s="34" t="s">
        <v>431</v>
      </c>
      <c r="O75" s="34" t="s">
        <v>763</v>
      </c>
      <c r="P75" s="35">
        <v>45694</v>
      </c>
      <c r="Q75" s="34" t="s">
        <v>432</v>
      </c>
      <c r="R75" s="34" t="s">
        <v>551</v>
      </c>
      <c r="S75" s="35">
        <v>45552</v>
      </c>
      <c r="T75" s="34" t="s">
        <v>704</v>
      </c>
      <c r="U75" s="34" t="s">
        <v>412</v>
      </c>
      <c r="V75" s="34" t="s">
        <v>613</v>
      </c>
      <c r="W75" s="34" t="s">
        <v>423</v>
      </c>
      <c r="X75" s="82" t="s">
        <v>424</v>
      </c>
      <c r="Y75" s="83"/>
      <c r="Z75" s="33"/>
      <c r="AA75" s="33"/>
      <c r="AB75" s="33"/>
    </row>
    <row r="76" spans="1:28" ht="16" thickBot="1">
      <c r="A76" s="34" t="s">
        <v>764</v>
      </c>
      <c r="B76" s="34">
        <v>1</v>
      </c>
      <c r="C76" s="34" t="s">
        <v>426</v>
      </c>
      <c r="D76" s="34" t="s">
        <v>764</v>
      </c>
      <c r="E76" s="39" t="s">
        <v>415</v>
      </c>
      <c r="F76" s="40" t="s">
        <v>765</v>
      </c>
      <c r="G76" s="33"/>
      <c r="H76" s="33"/>
      <c r="I76" s="40">
        <v>7403003022</v>
      </c>
      <c r="J76" s="40" t="s">
        <v>766</v>
      </c>
      <c r="K76" s="34" t="s">
        <v>407</v>
      </c>
      <c r="L76" s="34" t="s">
        <v>408</v>
      </c>
      <c r="M76" s="34" t="s">
        <v>409</v>
      </c>
      <c r="N76" s="34" t="s">
        <v>13</v>
      </c>
      <c r="O76" s="34" t="s">
        <v>352</v>
      </c>
      <c r="P76" s="35">
        <v>45699</v>
      </c>
      <c r="Q76" s="34" t="s">
        <v>410</v>
      </c>
      <c r="R76" s="34" t="s">
        <v>551</v>
      </c>
      <c r="S76" s="35">
        <v>45691</v>
      </c>
      <c r="T76" s="34" t="s">
        <v>767</v>
      </c>
      <c r="U76" s="34" t="s">
        <v>412</v>
      </c>
      <c r="V76" s="40" t="s">
        <v>746</v>
      </c>
      <c r="W76" s="34" t="s">
        <v>353</v>
      </c>
      <c r="X76" s="34" t="s">
        <v>340</v>
      </c>
      <c r="Y76" s="33"/>
      <c r="Z76" s="33"/>
      <c r="AA76" s="33"/>
      <c r="AB76" s="33"/>
    </row>
    <row r="77" spans="1:28" ht="16" thickBot="1">
      <c r="A77" s="34" t="s">
        <v>768</v>
      </c>
      <c r="B77" s="34">
        <v>1</v>
      </c>
      <c r="C77" s="34" t="s">
        <v>434</v>
      </c>
      <c r="D77" s="34" t="s">
        <v>768</v>
      </c>
      <c r="E77" s="39" t="s">
        <v>415</v>
      </c>
      <c r="F77" s="40" t="s">
        <v>769</v>
      </c>
      <c r="G77" s="33"/>
      <c r="H77" s="33"/>
      <c r="I77" s="40">
        <v>7735437949</v>
      </c>
      <c r="J77" s="40" t="s">
        <v>770</v>
      </c>
      <c r="K77" s="36" t="s">
        <v>771</v>
      </c>
      <c r="L77" s="34" t="s">
        <v>408</v>
      </c>
      <c r="M77" s="34" t="s">
        <v>409</v>
      </c>
      <c r="N77" s="34" t="s">
        <v>13</v>
      </c>
      <c r="O77" s="34" t="s">
        <v>352</v>
      </c>
      <c r="P77" s="35">
        <v>45700</v>
      </c>
      <c r="Q77" s="34" t="s">
        <v>410</v>
      </c>
      <c r="R77" s="34" t="s">
        <v>551</v>
      </c>
      <c r="S77" s="35">
        <v>45699</v>
      </c>
      <c r="T77" s="34" t="s">
        <v>772</v>
      </c>
      <c r="U77" s="34" t="s">
        <v>412</v>
      </c>
      <c r="V77" s="40" t="s">
        <v>652</v>
      </c>
      <c r="W77" s="34" t="s">
        <v>353</v>
      </c>
      <c r="X77" s="34" t="s">
        <v>340</v>
      </c>
      <c r="Y77" s="33"/>
      <c r="Z77" s="33"/>
      <c r="AA77" s="33"/>
      <c r="AB77" s="33"/>
    </row>
    <row r="78" spans="1:28" ht="16" thickBot="1">
      <c r="A78" s="34" t="s">
        <v>773</v>
      </c>
      <c r="B78" s="34">
        <v>1</v>
      </c>
      <c r="C78" s="34" t="s">
        <v>477</v>
      </c>
      <c r="D78" s="34" t="s">
        <v>773</v>
      </c>
      <c r="E78" s="33"/>
      <c r="F78" s="33"/>
      <c r="G78" s="33"/>
      <c r="H78" s="33"/>
      <c r="I78" s="33"/>
      <c r="J78" s="33"/>
      <c r="K78" s="34" t="s">
        <v>407</v>
      </c>
      <c r="L78" s="34" t="s">
        <v>408</v>
      </c>
      <c r="M78" s="34" t="s">
        <v>409</v>
      </c>
      <c r="N78" s="34" t="s">
        <v>13</v>
      </c>
      <c r="O78" s="34" t="s">
        <v>774</v>
      </c>
      <c r="P78" s="35">
        <v>45700</v>
      </c>
      <c r="Q78" s="34" t="s">
        <v>410</v>
      </c>
      <c r="R78" s="34" t="s">
        <v>551</v>
      </c>
      <c r="S78" s="35">
        <v>45700</v>
      </c>
      <c r="T78" s="33"/>
      <c r="U78" s="33"/>
      <c r="V78" s="33"/>
      <c r="W78" s="34" t="s">
        <v>353</v>
      </c>
      <c r="X78" s="34" t="s">
        <v>340</v>
      </c>
      <c r="Y78" s="33"/>
      <c r="Z78" s="33"/>
      <c r="AA78" s="33"/>
      <c r="AB78" s="33"/>
    </row>
    <row r="79" spans="1:28" ht="16" thickBot="1">
      <c r="A79" s="34" t="s">
        <v>775</v>
      </c>
      <c r="B79" s="34">
        <v>1</v>
      </c>
      <c r="C79" s="34" t="s">
        <v>588</v>
      </c>
      <c r="D79" s="34" t="s">
        <v>775</v>
      </c>
      <c r="E79" s="39" t="s">
        <v>415</v>
      </c>
      <c r="F79" s="40" t="s">
        <v>776</v>
      </c>
      <c r="G79" s="34" t="s">
        <v>417</v>
      </c>
      <c r="H79" s="33"/>
      <c r="I79" s="40">
        <v>7872076460</v>
      </c>
      <c r="J79" s="40" t="s">
        <v>777</v>
      </c>
      <c r="K79" s="36" t="s">
        <v>778</v>
      </c>
      <c r="L79" s="34" t="s">
        <v>408</v>
      </c>
      <c r="M79" s="34" t="s">
        <v>420</v>
      </c>
      <c r="N79" s="34" t="s">
        <v>431</v>
      </c>
      <c r="O79" s="34" t="s">
        <v>779</v>
      </c>
      <c r="P79" s="35">
        <v>45700</v>
      </c>
      <c r="Q79" s="34" t="s">
        <v>410</v>
      </c>
      <c r="R79" s="34" t="s">
        <v>551</v>
      </c>
      <c r="S79" s="35">
        <v>45694</v>
      </c>
      <c r="T79" s="34" t="s">
        <v>780</v>
      </c>
      <c r="U79" s="34" t="s">
        <v>412</v>
      </c>
      <c r="V79" s="34" t="s">
        <v>757</v>
      </c>
      <c r="W79" s="34" t="s">
        <v>423</v>
      </c>
      <c r="X79" s="34" t="s">
        <v>424</v>
      </c>
      <c r="Y79" s="38">
        <v>241316</v>
      </c>
      <c r="Z79" s="35">
        <v>45700</v>
      </c>
      <c r="AA79" s="34" t="s">
        <v>559</v>
      </c>
      <c r="AB79" s="34" t="s">
        <v>594</v>
      </c>
    </row>
    <row r="80" spans="1:28" ht="16" thickBot="1">
      <c r="A80" s="34" t="s">
        <v>781</v>
      </c>
      <c r="B80" s="34">
        <v>1</v>
      </c>
      <c r="C80" s="34" t="s">
        <v>534</v>
      </c>
      <c r="D80" s="34" t="s">
        <v>781</v>
      </c>
      <c r="E80" s="39" t="s">
        <v>415</v>
      </c>
      <c r="F80" s="40" t="s">
        <v>782</v>
      </c>
      <c r="G80" s="33"/>
      <c r="H80" s="33"/>
      <c r="I80" s="40">
        <v>7798652923</v>
      </c>
      <c r="J80" s="40" t="s">
        <v>783</v>
      </c>
      <c r="K80" s="36" t="s">
        <v>784</v>
      </c>
      <c r="L80" s="34" t="s">
        <v>408</v>
      </c>
      <c r="M80" s="34" t="s">
        <v>420</v>
      </c>
      <c r="N80" s="34" t="s">
        <v>431</v>
      </c>
      <c r="O80" s="34" t="s">
        <v>779</v>
      </c>
      <c r="P80" s="35">
        <v>45701</v>
      </c>
      <c r="Q80" s="34" t="s">
        <v>410</v>
      </c>
      <c r="R80" s="34" t="s">
        <v>551</v>
      </c>
      <c r="S80" s="35">
        <v>45699</v>
      </c>
      <c r="T80" s="34" t="s">
        <v>785</v>
      </c>
      <c r="U80" s="34" t="s">
        <v>412</v>
      </c>
      <c r="V80" s="40" t="s">
        <v>762</v>
      </c>
      <c r="W80" s="34" t="s">
        <v>423</v>
      </c>
      <c r="X80" s="34" t="s">
        <v>424</v>
      </c>
      <c r="Y80" s="33"/>
      <c r="Z80" s="33"/>
      <c r="AA80" s="33"/>
      <c r="AB80" s="33"/>
    </row>
    <row r="81" spans="1:28" ht="16" thickBot="1">
      <c r="A81" s="34" t="s">
        <v>786</v>
      </c>
      <c r="B81" s="34">
        <v>1</v>
      </c>
      <c r="C81" s="34" t="s">
        <v>787</v>
      </c>
      <c r="D81" s="34" t="s">
        <v>786</v>
      </c>
      <c r="E81" s="39" t="s">
        <v>415</v>
      </c>
      <c r="F81" s="40" t="s">
        <v>788</v>
      </c>
      <c r="G81" s="33"/>
      <c r="H81" s="33"/>
      <c r="I81" s="40">
        <v>7817764944</v>
      </c>
      <c r="J81" s="40" t="s">
        <v>789</v>
      </c>
      <c r="K81" s="36" t="s">
        <v>790</v>
      </c>
      <c r="L81" s="34" t="s">
        <v>408</v>
      </c>
      <c r="M81" s="34" t="s">
        <v>409</v>
      </c>
      <c r="N81" s="34" t="s">
        <v>13</v>
      </c>
      <c r="O81" s="34" t="s">
        <v>791</v>
      </c>
      <c r="P81" s="35">
        <v>45705</v>
      </c>
      <c r="Q81" s="34" t="s">
        <v>410</v>
      </c>
      <c r="R81" s="34" t="s">
        <v>551</v>
      </c>
      <c r="S81" s="35">
        <v>45701</v>
      </c>
      <c r="T81" s="34" t="s">
        <v>792</v>
      </c>
      <c r="U81" s="34" t="s">
        <v>412</v>
      </c>
      <c r="V81" s="34" t="s">
        <v>793</v>
      </c>
      <c r="W81" s="34" t="s">
        <v>353</v>
      </c>
      <c r="X81" s="34" t="s">
        <v>340</v>
      </c>
      <c r="Y81" s="33"/>
      <c r="Z81" s="33"/>
      <c r="AA81" s="33"/>
      <c r="AB81" s="33"/>
    </row>
    <row r="82" spans="1:28" ht="16" thickBot="1">
      <c r="A82" s="34" t="s">
        <v>794</v>
      </c>
      <c r="B82" s="34">
        <v>1</v>
      </c>
      <c r="C82" s="34" t="s">
        <v>445</v>
      </c>
      <c r="D82" s="34" t="s">
        <v>794</v>
      </c>
      <c r="E82" s="39" t="s">
        <v>415</v>
      </c>
      <c r="F82" s="40" t="s">
        <v>795</v>
      </c>
      <c r="G82" s="33"/>
      <c r="H82" s="40">
        <v>2045467850</v>
      </c>
      <c r="I82" s="40">
        <v>7932995964</v>
      </c>
      <c r="J82" s="40" t="s">
        <v>796</v>
      </c>
      <c r="K82" s="36" t="s">
        <v>797</v>
      </c>
      <c r="L82" s="34" t="s">
        <v>408</v>
      </c>
      <c r="M82" s="34" t="s">
        <v>409</v>
      </c>
      <c r="N82" s="34" t="s">
        <v>13</v>
      </c>
      <c r="O82" s="34" t="s">
        <v>382</v>
      </c>
      <c r="P82" s="35">
        <v>45705</v>
      </c>
      <c r="Q82" s="34" t="s">
        <v>410</v>
      </c>
      <c r="R82" s="34" t="s">
        <v>422</v>
      </c>
      <c r="S82" s="35">
        <v>45628</v>
      </c>
      <c r="T82" s="34" t="s">
        <v>798</v>
      </c>
      <c r="U82" s="34" t="s">
        <v>412</v>
      </c>
      <c r="V82" s="34" t="s">
        <v>762</v>
      </c>
      <c r="W82" s="34" t="s">
        <v>353</v>
      </c>
      <c r="X82" s="34" t="s">
        <v>340</v>
      </c>
      <c r="Y82" s="34">
        <v>245705</v>
      </c>
      <c r="Z82" s="33"/>
      <c r="AA82" s="33"/>
      <c r="AB82" s="33"/>
    </row>
    <row r="83" spans="1:28" ht="16" thickBot="1">
      <c r="A83" s="34" t="s">
        <v>799</v>
      </c>
      <c r="B83" s="34">
        <v>1</v>
      </c>
      <c r="C83" s="34" t="s">
        <v>800</v>
      </c>
      <c r="D83" s="34" t="s">
        <v>799</v>
      </c>
      <c r="E83" s="39" t="s">
        <v>415</v>
      </c>
      <c r="F83" s="40" t="s">
        <v>801</v>
      </c>
      <c r="G83" s="33"/>
      <c r="H83" s="33"/>
      <c r="I83" s="40">
        <v>7526559378</v>
      </c>
      <c r="J83" s="40" t="s">
        <v>802</v>
      </c>
      <c r="K83" s="36" t="s">
        <v>803</v>
      </c>
      <c r="L83" s="34" t="s">
        <v>408</v>
      </c>
      <c r="M83" s="34" t="s">
        <v>409</v>
      </c>
      <c r="N83" s="34" t="s">
        <v>13</v>
      </c>
      <c r="O83" s="34" t="s">
        <v>804</v>
      </c>
      <c r="P83" s="35">
        <v>45705</v>
      </c>
      <c r="Q83" s="34" t="s">
        <v>410</v>
      </c>
      <c r="R83" s="34" t="s">
        <v>551</v>
      </c>
      <c r="S83" s="35">
        <v>45678</v>
      </c>
      <c r="T83" s="34" t="s">
        <v>805</v>
      </c>
      <c r="U83" s="34" t="s">
        <v>412</v>
      </c>
      <c r="V83" s="40" t="s">
        <v>652</v>
      </c>
      <c r="W83" s="34" t="s">
        <v>353</v>
      </c>
      <c r="X83" s="34" t="s">
        <v>340</v>
      </c>
      <c r="Y83" s="33"/>
      <c r="Z83" s="33"/>
      <c r="AA83" s="33"/>
      <c r="AB83" s="33"/>
    </row>
    <row r="84" spans="1:28" ht="16" thickBot="1">
      <c r="A84" s="34" t="s">
        <v>464</v>
      </c>
      <c r="B84" s="34">
        <v>13</v>
      </c>
      <c r="C84" s="34" t="s">
        <v>440</v>
      </c>
      <c r="D84" s="34" t="s">
        <v>806</v>
      </c>
      <c r="E84" s="34" t="s">
        <v>415</v>
      </c>
      <c r="F84" s="34" t="s">
        <v>572</v>
      </c>
      <c r="G84" s="33"/>
      <c r="H84" s="33"/>
      <c r="I84" s="33"/>
      <c r="J84" s="33"/>
      <c r="K84" s="36" t="s">
        <v>807</v>
      </c>
      <c r="L84" s="34" t="s">
        <v>408</v>
      </c>
      <c r="M84" s="34" t="s">
        <v>409</v>
      </c>
      <c r="N84" s="34" t="s">
        <v>19</v>
      </c>
      <c r="O84" s="34" t="s">
        <v>373</v>
      </c>
      <c r="P84" s="35">
        <v>45707</v>
      </c>
      <c r="Q84" s="34" t="s">
        <v>432</v>
      </c>
      <c r="R84" s="34" t="s">
        <v>422</v>
      </c>
      <c r="S84" s="35">
        <v>45707</v>
      </c>
      <c r="T84" s="33"/>
      <c r="U84" s="34" t="s">
        <v>558</v>
      </c>
      <c r="V84" s="33"/>
      <c r="W84" s="34" t="s">
        <v>353</v>
      </c>
      <c r="X84" s="34" t="s">
        <v>340</v>
      </c>
      <c r="Y84" s="33"/>
      <c r="Z84" s="33"/>
      <c r="AA84" s="33"/>
      <c r="AB84" s="33"/>
    </row>
    <row r="85" spans="1:28" ht="16" thickBot="1">
      <c r="A85" s="34" t="s">
        <v>808</v>
      </c>
      <c r="B85" s="34">
        <v>1</v>
      </c>
      <c r="C85" s="34" t="s">
        <v>588</v>
      </c>
      <c r="D85" s="34" t="s">
        <v>808</v>
      </c>
      <c r="E85" s="39" t="s">
        <v>415</v>
      </c>
      <c r="F85" s="40" t="s">
        <v>809</v>
      </c>
      <c r="G85" s="34" t="s">
        <v>417</v>
      </c>
      <c r="H85" s="33"/>
      <c r="I85" s="40">
        <v>7939689137</v>
      </c>
      <c r="J85" s="40" t="s">
        <v>810</v>
      </c>
      <c r="K85" s="36" t="s">
        <v>811</v>
      </c>
      <c r="L85" s="34" t="s">
        <v>408</v>
      </c>
      <c r="M85" s="34" t="s">
        <v>409</v>
      </c>
      <c r="N85" s="34" t="s">
        <v>13</v>
      </c>
      <c r="O85" s="34" t="s">
        <v>369</v>
      </c>
      <c r="P85" s="35">
        <v>45709</v>
      </c>
      <c r="Q85" s="34" t="s">
        <v>410</v>
      </c>
      <c r="R85" s="34" t="s">
        <v>551</v>
      </c>
      <c r="S85" s="35">
        <v>45635</v>
      </c>
      <c r="T85" s="34" t="s">
        <v>812</v>
      </c>
      <c r="U85" s="34" t="s">
        <v>412</v>
      </c>
      <c r="V85" s="40" t="s">
        <v>746</v>
      </c>
      <c r="W85" s="34" t="s">
        <v>353</v>
      </c>
      <c r="X85" s="34" t="s">
        <v>340</v>
      </c>
      <c r="Y85" s="34">
        <v>241332</v>
      </c>
      <c r="Z85" s="33"/>
      <c r="AA85" s="34" t="s">
        <v>438</v>
      </c>
      <c r="AB85" s="34" t="s">
        <v>594</v>
      </c>
    </row>
    <row r="86" spans="1:28" ht="16" thickBot="1">
      <c r="A86" s="34" t="s">
        <v>813</v>
      </c>
      <c r="B86" s="34">
        <v>1</v>
      </c>
      <c r="C86" s="34" t="s">
        <v>608</v>
      </c>
      <c r="D86" s="34" t="s">
        <v>813</v>
      </c>
      <c r="E86" s="39" t="s">
        <v>415</v>
      </c>
      <c r="F86" s="40" t="s">
        <v>814</v>
      </c>
      <c r="G86" s="34" t="s">
        <v>417</v>
      </c>
      <c r="H86" s="33"/>
      <c r="I86" s="40">
        <v>7727624725</v>
      </c>
      <c r="J86" s="40" t="s">
        <v>815</v>
      </c>
      <c r="K86" s="36" t="s">
        <v>816</v>
      </c>
      <c r="L86" s="34" t="s">
        <v>408</v>
      </c>
      <c r="M86" s="34" t="s">
        <v>409</v>
      </c>
      <c r="N86" s="34" t="s">
        <v>13</v>
      </c>
      <c r="O86" s="34" t="s">
        <v>370</v>
      </c>
      <c r="P86" s="35">
        <v>45714</v>
      </c>
      <c r="Q86" s="34" t="s">
        <v>410</v>
      </c>
      <c r="R86" s="34" t="s">
        <v>817</v>
      </c>
      <c r="S86" s="35">
        <v>45712</v>
      </c>
      <c r="T86" s="34" t="s">
        <v>818</v>
      </c>
      <c r="U86" s="34" t="s">
        <v>412</v>
      </c>
      <c r="V86" s="40" t="s">
        <v>652</v>
      </c>
      <c r="W86" s="34" t="s">
        <v>353</v>
      </c>
      <c r="X86" s="34" t="s">
        <v>340</v>
      </c>
      <c r="Y86" s="34">
        <v>241336</v>
      </c>
      <c r="Z86" s="33"/>
      <c r="AA86" s="33"/>
      <c r="AB86" s="33"/>
    </row>
    <row r="87" spans="1:28" ht="16" thickBot="1">
      <c r="A87" s="34" t="s">
        <v>819</v>
      </c>
      <c r="B87" s="34">
        <v>1</v>
      </c>
      <c r="C87" s="34" t="s">
        <v>460</v>
      </c>
      <c r="D87" s="34" t="s">
        <v>819</v>
      </c>
      <c r="E87" s="39" t="s">
        <v>415</v>
      </c>
      <c r="F87" s="40" t="s">
        <v>820</v>
      </c>
      <c r="G87" s="33"/>
      <c r="H87" s="33"/>
      <c r="I87" s="40">
        <v>7921462700</v>
      </c>
      <c r="J87" s="40" t="s">
        <v>821</v>
      </c>
      <c r="K87" s="36" t="s">
        <v>822</v>
      </c>
      <c r="L87" s="34" t="s">
        <v>408</v>
      </c>
      <c r="M87" s="34" t="s">
        <v>420</v>
      </c>
      <c r="N87" s="34" t="s">
        <v>431</v>
      </c>
      <c r="O87" s="34" t="s">
        <v>370</v>
      </c>
      <c r="P87" s="35">
        <v>45714</v>
      </c>
      <c r="Q87" s="34" t="s">
        <v>410</v>
      </c>
      <c r="R87" s="34" t="s">
        <v>817</v>
      </c>
      <c r="S87" s="35">
        <v>45699</v>
      </c>
      <c r="T87" s="34" t="s">
        <v>823</v>
      </c>
      <c r="U87" s="34" t="s">
        <v>412</v>
      </c>
      <c r="V87" s="40" t="s">
        <v>762</v>
      </c>
      <c r="W87" s="34" t="s">
        <v>423</v>
      </c>
      <c r="X87" s="34" t="s">
        <v>424</v>
      </c>
      <c r="Y87" s="33"/>
      <c r="Z87" s="33"/>
      <c r="AA87" s="33"/>
      <c r="AB87" s="33"/>
    </row>
    <row r="88" spans="1:28" ht="16" thickBot="1">
      <c r="A88" s="34" t="s">
        <v>824</v>
      </c>
      <c r="B88" s="34">
        <v>1</v>
      </c>
      <c r="C88" s="34" t="s">
        <v>825</v>
      </c>
      <c r="D88" s="34" t="s">
        <v>824</v>
      </c>
      <c r="E88" s="34" t="s">
        <v>415</v>
      </c>
      <c r="F88" s="40" t="s">
        <v>826</v>
      </c>
      <c r="G88" s="34" t="s">
        <v>428</v>
      </c>
      <c r="H88" s="33"/>
      <c r="I88" s="40">
        <v>7392256442</v>
      </c>
      <c r="J88" s="40" t="s">
        <v>827</v>
      </c>
      <c r="K88" s="36" t="s">
        <v>828</v>
      </c>
      <c r="L88" s="34" t="s">
        <v>408</v>
      </c>
      <c r="M88" s="34" t="s">
        <v>409</v>
      </c>
      <c r="N88" s="34" t="s">
        <v>13</v>
      </c>
      <c r="O88" s="34" t="s">
        <v>370</v>
      </c>
      <c r="P88" s="35">
        <v>45718</v>
      </c>
      <c r="Q88" s="34" t="s">
        <v>410</v>
      </c>
      <c r="R88" s="34" t="s">
        <v>551</v>
      </c>
      <c r="S88" s="35">
        <v>45701</v>
      </c>
      <c r="T88" s="34" t="s">
        <v>829</v>
      </c>
      <c r="U88" s="34" t="s">
        <v>412</v>
      </c>
      <c r="V88" s="34" t="s">
        <v>689</v>
      </c>
      <c r="W88" s="34" t="s">
        <v>353</v>
      </c>
      <c r="X88" s="34" t="s">
        <v>340</v>
      </c>
      <c r="Y88" s="34">
        <v>241348</v>
      </c>
      <c r="Z88" s="33"/>
      <c r="AA88" s="33"/>
      <c r="AB88" s="33"/>
    </row>
    <row r="89" spans="1:28" ht="16" thickBot="1">
      <c r="A89" s="34" t="s">
        <v>830</v>
      </c>
      <c r="B89" s="34">
        <v>1</v>
      </c>
      <c r="C89" s="34" t="s">
        <v>670</v>
      </c>
      <c r="D89" s="34" t="s">
        <v>830</v>
      </c>
      <c r="E89" s="34" t="s">
        <v>415</v>
      </c>
      <c r="F89" s="40" t="s">
        <v>831</v>
      </c>
      <c r="G89" s="33"/>
      <c r="H89" s="33"/>
      <c r="I89" s="40">
        <v>7983404611</v>
      </c>
      <c r="J89" s="40" t="s">
        <v>832</v>
      </c>
      <c r="K89" s="34" t="s">
        <v>407</v>
      </c>
      <c r="L89" s="34" t="s">
        <v>408</v>
      </c>
      <c r="M89" s="34" t="s">
        <v>409</v>
      </c>
      <c r="N89" s="34" t="s">
        <v>13</v>
      </c>
      <c r="O89" s="34" t="s">
        <v>370</v>
      </c>
      <c r="P89" s="35">
        <v>45720</v>
      </c>
      <c r="Q89" s="34" t="s">
        <v>410</v>
      </c>
      <c r="R89" s="34" t="s">
        <v>551</v>
      </c>
      <c r="S89" s="35">
        <v>45560</v>
      </c>
      <c r="T89" s="34" t="s">
        <v>833</v>
      </c>
      <c r="U89" s="34" t="s">
        <v>412</v>
      </c>
      <c r="V89" s="40" t="s">
        <v>652</v>
      </c>
      <c r="W89" s="34" t="s">
        <v>353</v>
      </c>
      <c r="X89" s="34" t="s">
        <v>340</v>
      </c>
      <c r="Y89" s="34">
        <v>241349</v>
      </c>
      <c r="Z89" s="33"/>
      <c r="AA89" s="33"/>
      <c r="AB89" s="33"/>
    </row>
    <row r="90" spans="1:28" ht="16" thickBot="1">
      <c r="A90" s="34" t="s">
        <v>834</v>
      </c>
      <c r="B90" s="34">
        <v>1</v>
      </c>
      <c r="C90" s="34" t="s">
        <v>670</v>
      </c>
      <c r="D90" s="34" t="s">
        <v>834</v>
      </c>
      <c r="E90" s="33"/>
      <c r="F90" s="33"/>
      <c r="G90" s="33"/>
      <c r="H90" s="33"/>
      <c r="I90" s="33"/>
      <c r="J90" s="33"/>
      <c r="K90" s="34" t="s">
        <v>407</v>
      </c>
      <c r="L90" s="34" t="s">
        <v>408</v>
      </c>
      <c r="M90" s="34" t="s">
        <v>409</v>
      </c>
      <c r="N90" s="34" t="s">
        <v>13</v>
      </c>
      <c r="O90" s="34" t="s">
        <v>370</v>
      </c>
      <c r="P90" s="35">
        <v>45720</v>
      </c>
      <c r="Q90" s="34" t="s">
        <v>410</v>
      </c>
      <c r="R90" s="34" t="s">
        <v>551</v>
      </c>
      <c r="S90" s="35">
        <v>45720</v>
      </c>
      <c r="T90" s="33"/>
      <c r="U90" s="33"/>
      <c r="V90" s="33"/>
      <c r="W90" s="34" t="s">
        <v>353</v>
      </c>
      <c r="X90" s="34" t="s">
        <v>340</v>
      </c>
      <c r="Y90" s="33"/>
      <c r="Z90" s="33"/>
      <c r="AA90" s="33"/>
      <c r="AB90" s="33"/>
    </row>
    <row r="91" spans="1:28" ht="16" thickBot="1">
      <c r="A91" s="34" t="s">
        <v>835</v>
      </c>
      <c r="B91" s="34">
        <v>1</v>
      </c>
      <c r="C91" s="34" t="s">
        <v>836</v>
      </c>
      <c r="D91" s="34" t="s">
        <v>835</v>
      </c>
      <c r="E91" s="34" t="s">
        <v>627</v>
      </c>
      <c r="F91" s="40" t="s">
        <v>837</v>
      </c>
      <c r="G91" s="34" t="s">
        <v>417</v>
      </c>
      <c r="H91" s="33"/>
      <c r="I91" s="40">
        <v>7832974550</v>
      </c>
      <c r="J91" s="40" t="s">
        <v>838</v>
      </c>
      <c r="K91" s="36" t="s">
        <v>839</v>
      </c>
      <c r="L91" s="34" t="s">
        <v>408</v>
      </c>
      <c r="M91" s="34" t="s">
        <v>409</v>
      </c>
      <c r="N91" s="34" t="s">
        <v>13</v>
      </c>
      <c r="O91" s="34" t="s">
        <v>370</v>
      </c>
      <c r="P91" s="35">
        <v>45721</v>
      </c>
      <c r="Q91" s="34" t="s">
        <v>410</v>
      </c>
      <c r="R91" s="34" t="s">
        <v>551</v>
      </c>
      <c r="S91" s="35">
        <v>45696</v>
      </c>
      <c r="T91" s="34" t="s">
        <v>840</v>
      </c>
      <c r="U91" s="34" t="s">
        <v>412</v>
      </c>
      <c r="V91" s="40" t="s">
        <v>624</v>
      </c>
      <c r="W91" s="34" t="s">
        <v>353</v>
      </c>
      <c r="X91" s="34" t="s">
        <v>340</v>
      </c>
      <c r="Y91" s="33"/>
      <c r="Z91" s="33"/>
      <c r="AA91" s="33"/>
      <c r="AB91" s="33"/>
    </row>
    <row r="92" spans="1:28" ht="16" thickBot="1">
      <c r="A92" s="34" t="s">
        <v>718</v>
      </c>
      <c r="B92" s="34">
        <v>2</v>
      </c>
      <c r="C92" s="34" t="s">
        <v>440</v>
      </c>
      <c r="D92" s="34" t="s">
        <v>718</v>
      </c>
      <c r="E92" s="34" t="s">
        <v>415</v>
      </c>
      <c r="F92" s="40" t="s">
        <v>719</v>
      </c>
      <c r="G92" s="33"/>
      <c r="H92" s="33"/>
      <c r="I92" s="40">
        <v>7710131416</v>
      </c>
      <c r="J92" s="40" t="s">
        <v>720</v>
      </c>
      <c r="K92" s="36" t="s">
        <v>721</v>
      </c>
      <c r="L92" s="34" t="s">
        <v>408</v>
      </c>
      <c r="M92" s="34" t="s">
        <v>409</v>
      </c>
      <c r="N92" s="34" t="s">
        <v>36</v>
      </c>
      <c r="O92" s="34" t="s">
        <v>497</v>
      </c>
      <c r="P92" s="35">
        <v>45728</v>
      </c>
      <c r="Q92" s="34" t="s">
        <v>432</v>
      </c>
      <c r="R92" s="34" t="s">
        <v>422</v>
      </c>
      <c r="S92" s="35">
        <v>45673</v>
      </c>
      <c r="T92" s="34" t="s">
        <v>722</v>
      </c>
      <c r="U92" s="34" t="s">
        <v>412</v>
      </c>
      <c r="V92" s="40" t="s">
        <v>93</v>
      </c>
      <c r="W92" s="34" t="s">
        <v>353</v>
      </c>
      <c r="X92" s="34" t="s">
        <v>340</v>
      </c>
      <c r="Y92" s="34" t="s">
        <v>841</v>
      </c>
      <c r="Z92" s="33"/>
      <c r="AA92" s="33"/>
      <c r="AB92" s="33"/>
    </row>
    <row r="93" spans="1:28" ht="16" thickBot="1">
      <c r="A93" s="34" t="s">
        <v>464</v>
      </c>
      <c r="B93" s="34">
        <v>15</v>
      </c>
      <c r="C93" s="34" t="s">
        <v>465</v>
      </c>
      <c r="D93" s="34" t="s">
        <v>842</v>
      </c>
      <c r="E93" s="34" t="s">
        <v>415</v>
      </c>
      <c r="F93" s="34" t="s">
        <v>554</v>
      </c>
      <c r="G93" s="34" t="s">
        <v>428</v>
      </c>
      <c r="H93" s="34">
        <v>1327703841</v>
      </c>
      <c r="I93" s="33"/>
      <c r="J93" s="40" t="s">
        <v>843</v>
      </c>
      <c r="K93" s="36" t="s">
        <v>844</v>
      </c>
      <c r="L93" s="34" t="s">
        <v>408</v>
      </c>
      <c r="M93" s="34" t="s">
        <v>409</v>
      </c>
      <c r="N93" s="34" t="s">
        <v>19</v>
      </c>
      <c r="O93" s="34" t="s">
        <v>845</v>
      </c>
      <c r="P93" s="35">
        <v>45729</v>
      </c>
      <c r="Q93" s="34" t="s">
        <v>410</v>
      </c>
      <c r="R93" s="34" t="s">
        <v>422</v>
      </c>
      <c r="S93" s="35">
        <v>45734</v>
      </c>
      <c r="T93" s="34" t="s">
        <v>846</v>
      </c>
      <c r="U93" s="34" t="s">
        <v>558</v>
      </c>
      <c r="V93" s="34" t="s">
        <v>422</v>
      </c>
      <c r="W93" s="34" t="s">
        <v>353</v>
      </c>
      <c r="X93" s="34" t="s">
        <v>340</v>
      </c>
      <c r="Y93" s="34">
        <v>241077</v>
      </c>
      <c r="Z93" s="33"/>
      <c r="AA93" s="33"/>
      <c r="AB93" s="33"/>
    </row>
    <row r="94" spans="1:28" ht="16" thickBot="1">
      <c r="A94" s="34" t="s">
        <v>847</v>
      </c>
      <c r="B94" s="34">
        <v>1</v>
      </c>
      <c r="C94" s="34" t="s">
        <v>414</v>
      </c>
      <c r="D94" s="34" t="s">
        <v>847</v>
      </c>
      <c r="E94" s="40" t="s">
        <v>415</v>
      </c>
      <c r="F94" s="39" t="s">
        <v>848</v>
      </c>
      <c r="G94" s="33"/>
      <c r="H94" s="33"/>
      <c r="I94" s="40">
        <v>7950843633</v>
      </c>
      <c r="J94" s="40" t="s">
        <v>849</v>
      </c>
      <c r="K94" s="34" t="s">
        <v>407</v>
      </c>
      <c r="L94" s="34" t="s">
        <v>408</v>
      </c>
      <c r="M94" s="34" t="s">
        <v>409</v>
      </c>
      <c r="N94" s="34" t="s">
        <v>13</v>
      </c>
      <c r="O94" s="34" t="s">
        <v>370</v>
      </c>
      <c r="P94" s="35">
        <v>45729</v>
      </c>
      <c r="Q94" s="34" t="s">
        <v>410</v>
      </c>
      <c r="R94" s="34" t="s">
        <v>551</v>
      </c>
      <c r="S94" s="35">
        <v>45705</v>
      </c>
      <c r="T94" s="34" t="s">
        <v>850</v>
      </c>
      <c r="U94" s="34" t="s">
        <v>412</v>
      </c>
      <c r="V94" s="40" t="s">
        <v>689</v>
      </c>
      <c r="W94" s="34" t="s">
        <v>353</v>
      </c>
      <c r="X94" s="34" t="s">
        <v>340</v>
      </c>
      <c r="Y94" s="33"/>
      <c r="Z94" s="33"/>
      <c r="AA94" s="33"/>
      <c r="AB94" s="33"/>
    </row>
    <row r="95" spans="1:28" ht="16" thickBot="1">
      <c r="A95" s="34" t="s">
        <v>851</v>
      </c>
      <c r="B95" s="34">
        <v>1</v>
      </c>
      <c r="C95" s="34" t="s">
        <v>736</v>
      </c>
      <c r="D95" s="34" t="s">
        <v>851</v>
      </c>
      <c r="E95" s="40" t="s">
        <v>415</v>
      </c>
      <c r="F95" s="39" t="s">
        <v>852</v>
      </c>
      <c r="G95" s="34" t="s">
        <v>417</v>
      </c>
      <c r="H95" s="33"/>
      <c r="I95" s="40">
        <v>7578603970</v>
      </c>
      <c r="J95" s="40" t="s">
        <v>853</v>
      </c>
      <c r="K95" s="36" t="s">
        <v>854</v>
      </c>
      <c r="L95" s="34" t="s">
        <v>408</v>
      </c>
      <c r="M95" s="34" t="s">
        <v>420</v>
      </c>
      <c r="N95" s="34" t="s">
        <v>431</v>
      </c>
      <c r="O95" s="34" t="s">
        <v>640</v>
      </c>
      <c r="P95" s="35">
        <v>45734</v>
      </c>
      <c r="Q95" s="34" t="s">
        <v>410</v>
      </c>
      <c r="R95" s="34" t="s">
        <v>551</v>
      </c>
      <c r="S95" s="35">
        <v>45721</v>
      </c>
      <c r="T95" s="34" t="s">
        <v>855</v>
      </c>
      <c r="U95" s="34" t="s">
        <v>412</v>
      </c>
      <c r="V95" s="34" t="s">
        <v>689</v>
      </c>
      <c r="W95" s="34" t="s">
        <v>423</v>
      </c>
      <c r="X95" s="34" t="s">
        <v>424</v>
      </c>
      <c r="Y95" s="34">
        <v>241363</v>
      </c>
      <c r="Z95" s="33"/>
      <c r="AA95" s="33"/>
      <c r="AB95" s="33"/>
    </row>
    <row r="96" spans="1:28" ht="16" thickBot="1">
      <c r="A96" s="34" t="s">
        <v>856</v>
      </c>
      <c r="B96" s="34">
        <v>1</v>
      </c>
      <c r="C96" s="34" t="s">
        <v>426</v>
      </c>
      <c r="D96" s="34" t="s">
        <v>856</v>
      </c>
      <c r="E96" s="40" t="s">
        <v>415</v>
      </c>
      <c r="F96" s="40" t="s">
        <v>857</v>
      </c>
      <c r="G96" s="33"/>
      <c r="H96" s="33"/>
      <c r="I96" s="40">
        <v>7460694437</v>
      </c>
      <c r="J96" s="40" t="s">
        <v>858</v>
      </c>
      <c r="K96" s="36" t="s">
        <v>859</v>
      </c>
      <c r="L96" s="34" t="s">
        <v>408</v>
      </c>
      <c r="M96" s="34" t="s">
        <v>409</v>
      </c>
      <c r="N96" s="34" t="s">
        <v>13</v>
      </c>
      <c r="O96" s="34" t="s">
        <v>352</v>
      </c>
      <c r="P96" s="35">
        <v>45736</v>
      </c>
      <c r="Q96" s="34" t="s">
        <v>410</v>
      </c>
      <c r="R96" s="34" t="s">
        <v>551</v>
      </c>
      <c r="S96" s="35">
        <v>45735</v>
      </c>
      <c r="T96" s="34" t="s">
        <v>860</v>
      </c>
      <c r="U96" s="34" t="s">
        <v>412</v>
      </c>
      <c r="V96" s="40" t="s">
        <v>861</v>
      </c>
      <c r="W96" s="34" t="s">
        <v>353</v>
      </c>
      <c r="X96" s="34" t="s">
        <v>340</v>
      </c>
      <c r="Y96" s="34">
        <v>241372</v>
      </c>
      <c r="Z96" s="33"/>
      <c r="AA96" s="33"/>
      <c r="AB96" s="33"/>
    </row>
    <row r="97" spans="1:28" ht="16" thickBot="1">
      <c r="A97" s="34" t="s">
        <v>643</v>
      </c>
      <c r="B97" s="34">
        <v>2</v>
      </c>
      <c r="C97" s="34" t="s">
        <v>608</v>
      </c>
      <c r="D97" s="34" t="s">
        <v>643</v>
      </c>
      <c r="E97" s="34" t="s">
        <v>478</v>
      </c>
      <c r="F97" s="39" t="s">
        <v>644</v>
      </c>
      <c r="G97" s="34" t="s">
        <v>428</v>
      </c>
      <c r="H97" s="33"/>
      <c r="I97" s="40">
        <v>7799175108</v>
      </c>
      <c r="J97" s="40" t="s">
        <v>645</v>
      </c>
      <c r="K97" s="36" t="s">
        <v>862</v>
      </c>
      <c r="L97" s="34" t="s">
        <v>408</v>
      </c>
      <c r="M97" s="34" t="s">
        <v>420</v>
      </c>
      <c r="N97" s="34" t="s">
        <v>431</v>
      </c>
      <c r="O97" s="34" t="s">
        <v>559</v>
      </c>
      <c r="P97" s="35">
        <v>45736</v>
      </c>
      <c r="Q97" s="34" t="s">
        <v>432</v>
      </c>
      <c r="R97" s="34" t="s">
        <v>422</v>
      </c>
      <c r="S97" s="35">
        <v>45586</v>
      </c>
      <c r="T97" s="34" t="s">
        <v>647</v>
      </c>
      <c r="U97" s="34" t="s">
        <v>412</v>
      </c>
      <c r="V97" s="40" t="s">
        <v>632</v>
      </c>
      <c r="W97" s="34" t="s">
        <v>423</v>
      </c>
      <c r="X97" s="34" t="s">
        <v>424</v>
      </c>
      <c r="Y97" s="33"/>
      <c r="Z97" s="33"/>
      <c r="AA97" s="33"/>
      <c r="AB97" s="33"/>
    </row>
    <row r="98" spans="1:28" ht="16" thickBot="1">
      <c r="A98" s="34" t="s">
        <v>863</v>
      </c>
      <c r="B98" s="34">
        <v>1</v>
      </c>
      <c r="C98" s="34" t="s">
        <v>695</v>
      </c>
      <c r="D98" s="34" t="s">
        <v>863</v>
      </c>
      <c r="E98" s="34" t="s">
        <v>415</v>
      </c>
      <c r="F98" s="34" t="s">
        <v>864</v>
      </c>
      <c r="G98" s="34" t="s">
        <v>417</v>
      </c>
      <c r="H98" s="33"/>
      <c r="I98" s="34">
        <v>7882716603</v>
      </c>
      <c r="J98" s="34" t="s">
        <v>865</v>
      </c>
      <c r="K98" s="36" t="s">
        <v>866</v>
      </c>
      <c r="L98" s="34" t="s">
        <v>408</v>
      </c>
      <c r="M98" s="34" t="s">
        <v>409</v>
      </c>
      <c r="N98" s="34" t="s">
        <v>13</v>
      </c>
      <c r="O98" s="34" t="s">
        <v>867</v>
      </c>
      <c r="P98" s="35">
        <v>45740</v>
      </c>
      <c r="Q98" s="34" t="s">
        <v>410</v>
      </c>
      <c r="R98" s="34" t="s">
        <v>551</v>
      </c>
      <c r="S98" s="35">
        <v>46103</v>
      </c>
      <c r="T98" s="34" t="s">
        <v>868</v>
      </c>
      <c r="U98" s="34" t="s">
        <v>412</v>
      </c>
      <c r="V98" s="34" t="s">
        <v>652</v>
      </c>
      <c r="W98" s="34" t="s">
        <v>353</v>
      </c>
      <c r="X98" s="34" t="s">
        <v>340</v>
      </c>
      <c r="Y98" s="33"/>
      <c r="Z98" s="33"/>
      <c r="AA98" s="33"/>
      <c r="AB98" s="33"/>
    </row>
    <row r="99" spans="1:28" ht="16" thickBot="1">
      <c r="A99" s="34" t="s">
        <v>869</v>
      </c>
      <c r="B99" s="34">
        <v>1</v>
      </c>
      <c r="C99" s="34" t="s">
        <v>695</v>
      </c>
      <c r="D99" s="34" t="s">
        <v>869</v>
      </c>
      <c r="E99" s="34" t="s">
        <v>478</v>
      </c>
      <c r="F99" s="34" t="s">
        <v>870</v>
      </c>
      <c r="G99" s="34" t="s">
        <v>417</v>
      </c>
      <c r="H99" s="33"/>
      <c r="I99" s="34">
        <v>7903254150</v>
      </c>
      <c r="J99" s="34" t="s">
        <v>871</v>
      </c>
      <c r="K99" s="36" t="s">
        <v>872</v>
      </c>
      <c r="L99" s="34" t="s">
        <v>408</v>
      </c>
      <c r="M99" s="34" t="s">
        <v>409</v>
      </c>
      <c r="N99" s="34" t="s">
        <v>13</v>
      </c>
      <c r="O99" s="34" t="s">
        <v>370</v>
      </c>
      <c r="P99" s="35">
        <v>45743</v>
      </c>
      <c r="Q99" s="34" t="s">
        <v>410</v>
      </c>
      <c r="R99" s="34" t="s">
        <v>551</v>
      </c>
      <c r="S99" s="35">
        <v>45661</v>
      </c>
      <c r="T99" s="34" t="s">
        <v>873</v>
      </c>
      <c r="U99" s="34" t="s">
        <v>412</v>
      </c>
      <c r="V99" s="34" t="s">
        <v>652</v>
      </c>
      <c r="W99" s="34" t="s">
        <v>353</v>
      </c>
      <c r="X99" s="34" t="s">
        <v>340</v>
      </c>
      <c r="Y99" s="33"/>
      <c r="Z99" s="33"/>
      <c r="AA99" s="33"/>
      <c r="AB99" s="33"/>
    </row>
    <row r="100" spans="1:28" ht="16" thickBot="1">
      <c r="A100" s="34" t="s">
        <v>874</v>
      </c>
      <c r="B100" s="34">
        <v>1</v>
      </c>
      <c r="C100" s="34" t="s">
        <v>736</v>
      </c>
      <c r="D100" s="34" t="s">
        <v>874</v>
      </c>
      <c r="E100" s="40" t="s">
        <v>415</v>
      </c>
      <c r="F100" s="34" t="s">
        <v>875</v>
      </c>
      <c r="G100" s="34" t="s">
        <v>417</v>
      </c>
      <c r="H100" s="33"/>
      <c r="I100" s="34">
        <v>7876063418</v>
      </c>
      <c r="J100" s="34" t="s">
        <v>876</v>
      </c>
      <c r="K100" s="36" t="s">
        <v>877</v>
      </c>
      <c r="L100" s="34" t="s">
        <v>408</v>
      </c>
      <c r="M100" s="34" t="s">
        <v>420</v>
      </c>
      <c r="N100" s="34" t="s">
        <v>431</v>
      </c>
      <c r="O100" s="34" t="s">
        <v>640</v>
      </c>
      <c r="P100" s="35">
        <v>45747</v>
      </c>
      <c r="Q100" s="34" t="s">
        <v>410</v>
      </c>
      <c r="R100" s="34" t="s">
        <v>551</v>
      </c>
      <c r="S100" s="35">
        <v>45733</v>
      </c>
      <c r="T100" s="34" t="s">
        <v>878</v>
      </c>
      <c r="U100" s="34" t="s">
        <v>412</v>
      </c>
      <c r="V100" s="34" t="s">
        <v>762</v>
      </c>
      <c r="W100" s="34" t="s">
        <v>423</v>
      </c>
      <c r="X100" s="34" t="s">
        <v>424</v>
      </c>
      <c r="Y100" s="33"/>
      <c r="Z100" s="33"/>
      <c r="AA100" s="33"/>
      <c r="AB100" s="33"/>
    </row>
    <row r="101" spans="1:28" ht="16" thickBot="1">
      <c r="A101" s="34" t="s">
        <v>879</v>
      </c>
      <c r="B101" s="34">
        <v>1</v>
      </c>
      <c r="C101" s="34" t="s">
        <v>736</v>
      </c>
      <c r="D101" s="34" t="s">
        <v>879</v>
      </c>
      <c r="E101" s="40" t="s">
        <v>627</v>
      </c>
      <c r="F101" s="40" t="s">
        <v>880</v>
      </c>
      <c r="G101" s="34" t="s">
        <v>428</v>
      </c>
      <c r="H101" s="33"/>
      <c r="I101" s="40">
        <v>7473873738</v>
      </c>
      <c r="J101" s="40" t="s">
        <v>881</v>
      </c>
      <c r="K101" s="34" t="s">
        <v>407</v>
      </c>
      <c r="L101" s="34" t="s">
        <v>408</v>
      </c>
      <c r="M101" s="34" t="s">
        <v>409</v>
      </c>
      <c r="N101" s="34" t="s">
        <v>13</v>
      </c>
      <c r="O101" s="34" t="s">
        <v>774</v>
      </c>
      <c r="P101" s="35">
        <v>45749</v>
      </c>
      <c r="Q101" s="34" t="s">
        <v>410</v>
      </c>
      <c r="R101" s="34" t="s">
        <v>551</v>
      </c>
      <c r="S101" s="35">
        <v>45726</v>
      </c>
      <c r="T101" s="34" t="s">
        <v>882</v>
      </c>
      <c r="U101" s="34" t="s">
        <v>412</v>
      </c>
      <c r="V101" s="40" t="s">
        <v>551</v>
      </c>
      <c r="W101" s="34" t="s">
        <v>353</v>
      </c>
      <c r="X101" s="34" t="s">
        <v>340</v>
      </c>
      <c r="Y101" s="33"/>
      <c r="Z101" s="33"/>
      <c r="AA101" s="33"/>
      <c r="AB101" s="33"/>
    </row>
    <row r="102" spans="1:28" ht="16" thickBot="1">
      <c r="A102" s="34" t="s">
        <v>883</v>
      </c>
      <c r="B102" s="34">
        <v>1</v>
      </c>
      <c r="C102" s="34" t="s">
        <v>513</v>
      </c>
      <c r="D102" s="34" t="s">
        <v>884</v>
      </c>
      <c r="E102" s="40" t="s">
        <v>627</v>
      </c>
      <c r="F102" s="34" t="s">
        <v>885</v>
      </c>
      <c r="G102" s="33"/>
      <c r="H102" s="33"/>
      <c r="I102" s="34">
        <v>7715602793</v>
      </c>
      <c r="J102" s="37" t="s">
        <v>886</v>
      </c>
      <c r="K102" s="36" t="s">
        <v>887</v>
      </c>
      <c r="L102" s="34" t="s">
        <v>408</v>
      </c>
      <c r="M102" s="34" t="s">
        <v>420</v>
      </c>
      <c r="N102" s="34" t="s">
        <v>431</v>
      </c>
      <c r="O102" s="34" t="s">
        <v>369</v>
      </c>
      <c r="P102" s="35">
        <v>45751</v>
      </c>
      <c r="Q102" s="34" t="s">
        <v>410</v>
      </c>
      <c r="R102" s="34" t="s">
        <v>551</v>
      </c>
      <c r="S102" s="35">
        <v>45744</v>
      </c>
      <c r="T102" s="34" t="s">
        <v>888</v>
      </c>
      <c r="U102" s="33"/>
      <c r="V102" s="34" t="s">
        <v>793</v>
      </c>
      <c r="W102" s="34" t="s">
        <v>423</v>
      </c>
      <c r="X102" s="34" t="s">
        <v>424</v>
      </c>
      <c r="Y102" s="33"/>
      <c r="Z102" s="33"/>
      <c r="AA102" s="33"/>
      <c r="AB102" s="33"/>
    </row>
    <row r="103" spans="1:28" ht="16" thickBot="1">
      <c r="A103" s="34" t="s">
        <v>464</v>
      </c>
      <c r="B103" s="34">
        <v>17</v>
      </c>
      <c r="C103" s="34" t="s">
        <v>513</v>
      </c>
      <c r="D103" s="34" t="s">
        <v>889</v>
      </c>
      <c r="E103" s="34" t="s">
        <v>415</v>
      </c>
      <c r="F103" s="34" t="s">
        <v>572</v>
      </c>
      <c r="G103" s="33"/>
      <c r="H103" s="33"/>
      <c r="I103" s="33"/>
      <c r="J103" s="33"/>
      <c r="K103" s="36" t="s">
        <v>890</v>
      </c>
      <c r="L103" s="34" t="s">
        <v>408</v>
      </c>
      <c r="M103" s="34" t="s">
        <v>409</v>
      </c>
      <c r="N103" s="34" t="s">
        <v>13</v>
      </c>
      <c r="O103" s="34" t="s">
        <v>370</v>
      </c>
      <c r="P103" s="35">
        <v>45756</v>
      </c>
      <c r="Q103" s="34" t="s">
        <v>410</v>
      </c>
      <c r="R103" s="34" t="s">
        <v>422</v>
      </c>
      <c r="S103" s="35">
        <v>45756</v>
      </c>
      <c r="T103" s="33"/>
      <c r="U103" s="34" t="s">
        <v>558</v>
      </c>
      <c r="V103" s="34" t="s">
        <v>422</v>
      </c>
      <c r="W103" s="34" t="s">
        <v>353</v>
      </c>
      <c r="X103" s="34" t="s">
        <v>340</v>
      </c>
      <c r="Y103" s="34">
        <v>241391</v>
      </c>
      <c r="Z103" s="33"/>
      <c r="AA103" s="33"/>
      <c r="AB103" s="33"/>
    </row>
    <row r="104" spans="1:28" ht="16" thickBot="1">
      <c r="A104" s="34" t="s">
        <v>891</v>
      </c>
      <c r="B104" s="34">
        <v>1</v>
      </c>
      <c r="C104" s="34" t="s">
        <v>608</v>
      </c>
      <c r="D104" s="34" t="s">
        <v>891</v>
      </c>
      <c r="E104" s="34" t="s">
        <v>415</v>
      </c>
      <c r="F104" s="40" t="s">
        <v>892</v>
      </c>
      <c r="G104" s="34" t="s">
        <v>428</v>
      </c>
      <c r="H104" s="33"/>
      <c r="I104" s="40">
        <v>7597113201</v>
      </c>
      <c r="J104" s="40" t="s">
        <v>893</v>
      </c>
      <c r="K104" s="36" t="s">
        <v>894</v>
      </c>
      <c r="L104" s="34" t="s">
        <v>408</v>
      </c>
      <c r="M104" s="34" t="s">
        <v>409</v>
      </c>
      <c r="N104" s="34" t="s">
        <v>13</v>
      </c>
      <c r="O104" s="34" t="s">
        <v>895</v>
      </c>
      <c r="P104" s="35">
        <v>45757</v>
      </c>
      <c r="Q104" s="34" t="s">
        <v>410</v>
      </c>
      <c r="R104" s="34" t="s">
        <v>422</v>
      </c>
      <c r="S104" s="35">
        <v>45758</v>
      </c>
      <c r="T104" s="34" t="s">
        <v>896</v>
      </c>
      <c r="U104" s="34" t="s">
        <v>412</v>
      </c>
      <c r="V104" s="34" t="s">
        <v>422</v>
      </c>
      <c r="W104" s="34" t="s">
        <v>353</v>
      </c>
      <c r="X104" s="34" t="s">
        <v>340</v>
      </c>
      <c r="Y104" s="34">
        <v>241395</v>
      </c>
      <c r="Z104" s="33"/>
      <c r="AA104" s="33"/>
      <c r="AB104" s="33"/>
    </row>
    <row r="105" spans="1:28" ht="16" thickBot="1">
      <c r="A105" s="34" t="s">
        <v>897</v>
      </c>
      <c r="B105" s="34">
        <v>1</v>
      </c>
      <c r="C105" s="34" t="s">
        <v>406</v>
      </c>
      <c r="D105" s="34" t="s">
        <v>897</v>
      </c>
      <c r="E105" s="34" t="s">
        <v>627</v>
      </c>
      <c r="F105" s="34" t="s">
        <v>898</v>
      </c>
      <c r="G105" s="34" t="s">
        <v>417</v>
      </c>
      <c r="H105" s="33"/>
      <c r="I105" s="34">
        <v>7384843696</v>
      </c>
      <c r="J105" s="34" t="s">
        <v>899</v>
      </c>
      <c r="K105" s="36" t="s">
        <v>900</v>
      </c>
      <c r="L105" s="34" t="s">
        <v>408</v>
      </c>
      <c r="M105" s="34" t="s">
        <v>420</v>
      </c>
      <c r="N105" s="34" t="s">
        <v>431</v>
      </c>
      <c r="O105" s="34" t="s">
        <v>640</v>
      </c>
      <c r="P105" s="35">
        <v>45757</v>
      </c>
      <c r="Q105" s="34" t="s">
        <v>410</v>
      </c>
      <c r="R105" s="34" t="s">
        <v>551</v>
      </c>
      <c r="S105" s="35">
        <v>45757</v>
      </c>
      <c r="T105" s="34" t="s">
        <v>901</v>
      </c>
      <c r="U105" s="34" t="s">
        <v>412</v>
      </c>
      <c r="V105" s="34" t="s">
        <v>793</v>
      </c>
      <c r="W105" s="34" t="s">
        <v>423</v>
      </c>
      <c r="X105" s="34" t="s">
        <v>424</v>
      </c>
      <c r="Y105" s="34">
        <v>241393</v>
      </c>
      <c r="Z105" s="33"/>
      <c r="AA105" s="33"/>
      <c r="AB105" s="33"/>
    </row>
    <row r="106" spans="1:28" ht="16" thickBot="1">
      <c r="A106" s="34" t="s">
        <v>902</v>
      </c>
      <c r="B106" s="34">
        <v>1</v>
      </c>
      <c r="C106" s="34" t="s">
        <v>695</v>
      </c>
      <c r="D106" s="34" t="s">
        <v>902</v>
      </c>
      <c r="E106" s="34" t="s">
        <v>415</v>
      </c>
      <c r="F106" s="34" t="s">
        <v>903</v>
      </c>
      <c r="G106" s="34" t="s">
        <v>417</v>
      </c>
      <c r="H106" s="33"/>
      <c r="I106" s="34">
        <v>7910032988</v>
      </c>
      <c r="J106" s="34" t="s">
        <v>904</v>
      </c>
      <c r="K106" s="36" t="s">
        <v>905</v>
      </c>
      <c r="L106" s="34" t="s">
        <v>408</v>
      </c>
      <c r="M106" s="34" t="s">
        <v>409</v>
      </c>
      <c r="N106" s="34" t="s">
        <v>13</v>
      </c>
      <c r="O106" s="34" t="s">
        <v>364</v>
      </c>
      <c r="P106" s="35">
        <v>45763</v>
      </c>
      <c r="Q106" s="34" t="s">
        <v>410</v>
      </c>
      <c r="R106" s="34" t="s">
        <v>551</v>
      </c>
      <c r="S106" s="35">
        <v>45759</v>
      </c>
      <c r="T106" s="34" t="s">
        <v>906</v>
      </c>
      <c r="U106" s="34" t="s">
        <v>412</v>
      </c>
      <c r="V106" s="34" t="s">
        <v>793</v>
      </c>
      <c r="W106" s="34" t="s">
        <v>353</v>
      </c>
      <c r="X106" s="34" t="s">
        <v>340</v>
      </c>
      <c r="Y106" s="34">
        <v>241416</v>
      </c>
      <c r="Z106" s="33"/>
      <c r="AA106" s="33"/>
      <c r="AB106" s="33"/>
    </row>
    <row r="107" spans="1:28" ht="16" thickBot="1">
      <c r="A107" s="34" t="s">
        <v>111</v>
      </c>
      <c r="B107" s="34">
        <v>1</v>
      </c>
      <c r="C107" s="34" t="s">
        <v>712</v>
      </c>
      <c r="D107" s="34" t="s">
        <v>111</v>
      </c>
      <c r="E107" s="34" t="s">
        <v>415</v>
      </c>
      <c r="F107" s="34" t="s">
        <v>907</v>
      </c>
      <c r="G107" s="33"/>
      <c r="H107" s="33"/>
      <c r="I107" s="33"/>
      <c r="J107" s="33"/>
      <c r="K107" s="36" t="s">
        <v>908</v>
      </c>
      <c r="L107" s="34" t="s">
        <v>408</v>
      </c>
      <c r="M107" s="34" t="s">
        <v>409</v>
      </c>
      <c r="N107" s="34" t="s">
        <v>13</v>
      </c>
      <c r="O107" s="34" t="s">
        <v>909</v>
      </c>
      <c r="P107" s="35">
        <v>45770</v>
      </c>
      <c r="Q107" s="34" t="s">
        <v>410</v>
      </c>
      <c r="R107" s="34" t="s">
        <v>551</v>
      </c>
      <c r="S107" s="35">
        <v>45770</v>
      </c>
      <c r="T107" s="33"/>
      <c r="U107" s="33"/>
      <c r="V107" s="33"/>
      <c r="W107" s="34" t="s">
        <v>353</v>
      </c>
      <c r="X107" s="34" t="s">
        <v>340</v>
      </c>
      <c r="Y107" s="33"/>
      <c r="Z107" s="33"/>
      <c r="AA107" s="33"/>
      <c r="AB107" s="33"/>
    </row>
    <row r="108" spans="1:28" ht="16" thickBot="1">
      <c r="A108" s="34" t="s">
        <v>910</v>
      </c>
      <c r="B108" s="34">
        <v>1</v>
      </c>
      <c r="C108" s="34" t="s">
        <v>450</v>
      </c>
      <c r="D108" s="34" t="s">
        <v>910</v>
      </c>
      <c r="E108" s="34" t="s">
        <v>478</v>
      </c>
      <c r="F108" s="34" t="s">
        <v>911</v>
      </c>
      <c r="G108" s="34" t="s">
        <v>417</v>
      </c>
      <c r="H108" s="33"/>
      <c r="I108" s="34">
        <v>7966020134</v>
      </c>
      <c r="J108" s="34" t="s">
        <v>912</v>
      </c>
      <c r="K108" s="36" t="s">
        <v>913</v>
      </c>
      <c r="L108" s="34" t="s">
        <v>408</v>
      </c>
      <c r="M108" s="34" t="s">
        <v>420</v>
      </c>
      <c r="N108" s="34" t="s">
        <v>431</v>
      </c>
      <c r="O108" s="34" t="s">
        <v>369</v>
      </c>
      <c r="P108" s="35">
        <v>45770</v>
      </c>
      <c r="Q108" s="34" t="s">
        <v>410</v>
      </c>
      <c r="R108" s="34" t="s">
        <v>422</v>
      </c>
      <c r="S108" s="35">
        <v>45723</v>
      </c>
      <c r="T108" s="34" t="s">
        <v>914</v>
      </c>
      <c r="U108" s="34" t="s">
        <v>412</v>
      </c>
      <c r="V108" s="40" t="s">
        <v>689</v>
      </c>
      <c r="W108" s="34" t="s">
        <v>423</v>
      </c>
      <c r="X108" s="34" t="s">
        <v>424</v>
      </c>
      <c r="Y108" s="33"/>
      <c r="Z108" s="33"/>
      <c r="AA108" s="33"/>
      <c r="AB108" s="33"/>
    </row>
    <row r="109" spans="1:28" ht="16" thickBot="1">
      <c r="A109" s="34" t="s">
        <v>786</v>
      </c>
      <c r="B109" s="34">
        <v>2</v>
      </c>
      <c r="C109" s="34" t="s">
        <v>787</v>
      </c>
      <c r="D109" s="34" t="s">
        <v>786</v>
      </c>
      <c r="E109" s="40" t="s">
        <v>415</v>
      </c>
      <c r="F109" s="34" t="s">
        <v>788</v>
      </c>
      <c r="G109" s="33"/>
      <c r="H109" s="33"/>
      <c r="I109" s="34">
        <v>7817764944</v>
      </c>
      <c r="J109" s="34" t="s">
        <v>789</v>
      </c>
      <c r="K109" s="36" t="s">
        <v>790</v>
      </c>
      <c r="L109" s="34" t="s">
        <v>408</v>
      </c>
      <c r="M109" s="34" t="s">
        <v>420</v>
      </c>
      <c r="N109" s="34" t="s">
        <v>431</v>
      </c>
      <c r="O109" s="34" t="s">
        <v>369</v>
      </c>
      <c r="P109" s="35">
        <v>45775</v>
      </c>
      <c r="Q109" s="34" t="s">
        <v>432</v>
      </c>
      <c r="R109" s="34" t="s">
        <v>551</v>
      </c>
      <c r="S109" s="35">
        <v>45701</v>
      </c>
      <c r="T109" s="34" t="s">
        <v>792</v>
      </c>
      <c r="U109" s="34" t="s">
        <v>412</v>
      </c>
      <c r="V109" s="34" t="s">
        <v>793</v>
      </c>
      <c r="W109" s="34" t="s">
        <v>423</v>
      </c>
      <c r="X109" s="34" t="s">
        <v>424</v>
      </c>
      <c r="Y109" s="34">
        <v>241428</v>
      </c>
      <c r="Z109" s="33"/>
      <c r="AA109" s="33"/>
      <c r="AB109" s="33"/>
    </row>
    <row r="110" spans="1:28" ht="16" thickBot="1">
      <c r="A110" s="34" t="s">
        <v>915</v>
      </c>
      <c r="B110" s="34">
        <v>1</v>
      </c>
      <c r="C110" s="34" t="s">
        <v>670</v>
      </c>
      <c r="D110" s="34" t="s">
        <v>915</v>
      </c>
      <c r="E110" s="40" t="s">
        <v>415</v>
      </c>
      <c r="F110" s="34" t="s">
        <v>916</v>
      </c>
      <c r="G110" s="33"/>
      <c r="H110" s="33"/>
      <c r="I110" s="34">
        <v>7749990212</v>
      </c>
      <c r="J110" s="34" t="s">
        <v>917</v>
      </c>
      <c r="K110" s="34" t="s">
        <v>407</v>
      </c>
      <c r="L110" s="34" t="s">
        <v>408</v>
      </c>
      <c r="M110" s="34" t="s">
        <v>409</v>
      </c>
      <c r="N110" s="34" t="s">
        <v>13</v>
      </c>
      <c r="O110" s="34" t="s">
        <v>370</v>
      </c>
      <c r="P110" s="35">
        <v>45777</v>
      </c>
      <c r="Q110" s="34" t="s">
        <v>410</v>
      </c>
      <c r="R110" s="34" t="s">
        <v>817</v>
      </c>
      <c r="S110" s="35">
        <v>45735</v>
      </c>
      <c r="T110" s="34" t="s">
        <v>918</v>
      </c>
      <c r="U110" s="34" t="s">
        <v>412</v>
      </c>
      <c r="V110" s="34" t="s">
        <v>919</v>
      </c>
      <c r="W110" s="34" t="s">
        <v>353</v>
      </c>
      <c r="X110" s="34" t="s">
        <v>340</v>
      </c>
      <c r="Y110" s="33"/>
      <c r="Z110" s="33"/>
      <c r="AA110" s="33"/>
      <c r="AB110" s="33"/>
    </row>
    <row r="111" spans="1:28" ht="16" thickBot="1">
      <c r="A111" s="34" t="s">
        <v>920</v>
      </c>
      <c r="B111" s="34">
        <v>1</v>
      </c>
      <c r="C111" s="34" t="s">
        <v>712</v>
      </c>
      <c r="D111" s="34" t="s">
        <v>920</v>
      </c>
      <c r="E111" s="40" t="s">
        <v>415</v>
      </c>
      <c r="F111" s="34" t="s">
        <v>921</v>
      </c>
      <c r="G111" s="33"/>
      <c r="H111" s="33"/>
      <c r="I111" s="34">
        <v>7909775827</v>
      </c>
      <c r="J111" s="34" t="s">
        <v>922</v>
      </c>
      <c r="K111" s="36" t="s">
        <v>923</v>
      </c>
      <c r="L111" s="34" t="s">
        <v>408</v>
      </c>
      <c r="M111" s="34" t="s">
        <v>409</v>
      </c>
      <c r="N111" s="34" t="s">
        <v>13</v>
      </c>
      <c r="O111" s="34" t="s">
        <v>364</v>
      </c>
      <c r="P111" s="35">
        <v>45781</v>
      </c>
      <c r="Q111" s="34" t="s">
        <v>410</v>
      </c>
      <c r="R111" s="34" t="s">
        <v>551</v>
      </c>
      <c r="S111" s="35">
        <v>45777</v>
      </c>
      <c r="T111" s="34" t="s">
        <v>924</v>
      </c>
      <c r="U111" s="34" t="s">
        <v>412</v>
      </c>
      <c r="V111" s="34" t="s">
        <v>632</v>
      </c>
      <c r="W111" s="34" t="s">
        <v>353</v>
      </c>
      <c r="X111" s="34" t="s">
        <v>340</v>
      </c>
      <c r="Y111" s="33"/>
      <c r="Z111" s="33"/>
      <c r="AA111" s="33"/>
      <c r="AB111" s="33"/>
    </row>
    <row r="112" spans="1:28" ht="16" thickBot="1">
      <c r="A112" s="34" t="s">
        <v>925</v>
      </c>
      <c r="B112" s="34">
        <v>1</v>
      </c>
      <c r="C112" s="34" t="s">
        <v>588</v>
      </c>
      <c r="D112" s="34" t="s">
        <v>926</v>
      </c>
      <c r="E112" s="40" t="s">
        <v>415</v>
      </c>
      <c r="F112" s="37" t="s">
        <v>927</v>
      </c>
      <c r="G112" s="34" t="s">
        <v>428</v>
      </c>
      <c r="H112" s="33"/>
      <c r="I112" s="34">
        <v>7562013919</v>
      </c>
      <c r="J112" s="34" t="s">
        <v>928</v>
      </c>
      <c r="K112" s="36" t="s">
        <v>929</v>
      </c>
      <c r="L112" s="34" t="s">
        <v>408</v>
      </c>
      <c r="M112" s="34" t="s">
        <v>409</v>
      </c>
      <c r="N112" s="34" t="s">
        <v>13</v>
      </c>
      <c r="O112" s="34" t="s">
        <v>930</v>
      </c>
      <c r="P112" s="35">
        <v>45784</v>
      </c>
      <c r="Q112" s="34" t="s">
        <v>410</v>
      </c>
      <c r="R112" s="34" t="s">
        <v>817</v>
      </c>
      <c r="S112" s="35">
        <v>45668</v>
      </c>
      <c r="T112" s="34" t="s">
        <v>931</v>
      </c>
      <c r="U112" s="34" t="s">
        <v>412</v>
      </c>
      <c r="V112" s="34" t="s">
        <v>793</v>
      </c>
      <c r="W112" s="34" t="s">
        <v>353</v>
      </c>
      <c r="X112" s="34" t="s">
        <v>340</v>
      </c>
      <c r="Y112" s="33"/>
      <c r="Z112" s="33"/>
      <c r="AA112" s="33"/>
      <c r="AB112" s="33"/>
    </row>
    <row r="113" spans="1:28" ht="16" thickBot="1">
      <c r="A113" s="34" t="s">
        <v>794</v>
      </c>
      <c r="B113" s="34">
        <v>2</v>
      </c>
      <c r="C113" s="34" t="s">
        <v>445</v>
      </c>
      <c r="D113" s="34" t="s">
        <v>794</v>
      </c>
      <c r="E113" s="39" t="s">
        <v>415</v>
      </c>
      <c r="F113" s="40" t="s">
        <v>795</v>
      </c>
      <c r="G113" s="33"/>
      <c r="H113" s="40">
        <v>2045467850</v>
      </c>
      <c r="I113" s="40">
        <v>7932995964</v>
      </c>
      <c r="J113" s="40" t="s">
        <v>796</v>
      </c>
      <c r="K113" s="36" t="s">
        <v>797</v>
      </c>
      <c r="L113" s="34" t="s">
        <v>408</v>
      </c>
      <c r="M113" s="34" t="s">
        <v>420</v>
      </c>
      <c r="N113" s="34" t="s">
        <v>431</v>
      </c>
      <c r="O113" s="34" t="s">
        <v>370</v>
      </c>
      <c r="P113" s="35">
        <v>45793</v>
      </c>
      <c r="Q113" s="34" t="s">
        <v>432</v>
      </c>
      <c r="R113" s="34" t="s">
        <v>422</v>
      </c>
      <c r="S113" s="35">
        <v>45628</v>
      </c>
      <c r="T113" s="34" t="s">
        <v>798</v>
      </c>
      <c r="U113" s="34" t="s">
        <v>412</v>
      </c>
      <c r="V113" s="34" t="s">
        <v>762</v>
      </c>
      <c r="W113" s="34" t="s">
        <v>423</v>
      </c>
      <c r="X113" s="34" t="s">
        <v>424</v>
      </c>
      <c r="Y113" s="34">
        <v>241606</v>
      </c>
      <c r="Z113" s="33"/>
      <c r="AA113" s="33"/>
      <c r="AB113" s="33"/>
    </row>
    <row r="114" spans="1:28" ht="16" thickBot="1">
      <c r="A114" s="34" t="s">
        <v>910</v>
      </c>
      <c r="B114" s="34">
        <v>2</v>
      </c>
      <c r="C114" s="34" t="s">
        <v>450</v>
      </c>
      <c r="D114" s="34" t="s">
        <v>910</v>
      </c>
      <c r="E114" s="34" t="s">
        <v>478</v>
      </c>
      <c r="F114" s="34" t="s">
        <v>911</v>
      </c>
      <c r="G114" s="34" t="s">
        <v>417</v>
      </c>
      <c r="H114" s="33"/>
      <c r="I114" s="34">
        <v>7966020134</v>
      </c>
      <c r="J114" s="34" t="s">
        <v>912</v>
      </c>
      <c r="K114" s="36" t="s">
        <v>913</v>
      </c>
      <c r="L114" s="34" t="s">
        <v>408</v>
      </c>
      <c r="M114" s="34" t="s">
        <v>420</v>
      </c>
      <c r="N114" s="34" t="s">
        <v>932</v>
      </c>
      <c r="O114" s="34" t="s">
        <v>438</v>
      </c>
      <c r="P114" s="35">
        <v>45803</v>
      </c>
      <c r="Q114" s="34" t="s">
        <v>432</v>
      </c>
      <c r="R114" s="34" t="s">
        <v>422</v>
      </c>
      <c r="S114" s="35">
        <v>45723</v>
      </c>
      <c r="T114" s="34" t="s">
        <v>914</v>
      </c>
      <c r="U114" s="34" t="s">
        <v>412</v>
      </c>
      <c r="V114" s="40" t="s">
        <v>689</v>
      </c>
      <c r="W114" s="34" t="s">
        <v>340</v>
      </c>
      <c r="X114" s="34" t="s">
        <v>340</v>
      </c>
      <c r="Y114" s="33"/>
      <c r="Z114" s="33"/>
      <c r="AA114" s="33"/>
      <c r="AB114" s="33"/>
    </row>
    <row r="115" spans="1:28" ht="16" thickBot="1">
      <c r="A115" s="34" t="s">
        <v>933</v>
      </c>
      <c r="B115" s="34">
        <v>1</v>
      </c>
      <c r="C115" s="34" t="s">
        <v>608</v>
      </c>
      <c r="D115" s="34" t="s">
        <v>934</v>
      </c>
      <c r="E115" s="34" t="s">
        <v>415</v>
      </c>
      <c r="F115" s="34" t="s">
        <v>935</v>
      </c>
      <c r="G115" s="34" t="s">
        <v>417</v>
      </c>
      <c r="H115" s="33"/>
      <c r="I115" s="34">
        <v>7453324850</v>
      </c>
      <c r="J115" s="34" t="s">
        <v>936</v>
      </c>
      <c r="K115" s="34" t="s">
        <v>407</v>
      </c>
      <c r="L115" s="34" t="s">
        <v>408</v>
      </c>
      <c r="M115" s="34" t="s">
        <v>420</v>
      </c>
      <c r="N115" s="34" t="s">
        <v>937</v>
      </c>
      <c r="O115" s="34" t="s">
        <v>640</v>
      </c>
      <c r="P115" s="35">
        <v>45806</v>
      </c>
      <c r="Q115" s="34" t="s">
        <v>410</v>
      </c>
      <c r="R115" s="34" t="s">
        <v>551</v>
      </c>
      <c r="S115" s="35">
        <v>45581</v>
      </c>
      <c r="T115" s="34" t="s">
        <v>938</v>
      </c>
      <c r="U115" s="34" t="s">
        <v>412</v>
      </c>
      <c r="V115" s="40" t="s">
        <v>652</v>
      </c>
      <c r="W115" s="34" t="s">
        <v>423</v>
      </c>
      <c r="X115" s="82" t="s">
        <v>424</v>
      </c>
      <c r="Y115" s="83"/>
      <c r="Z115" s="33"/>
      <c r="AA115" s="33"/>
      <c r="AB115" s="33"/>
    </row>
    <row r="116" spans="1:28" ht="16" thickBot="1">
      <c r="A116" s="34" t="s">
        <v>939</v>
      </c>
      <c r="B116" s="34">
        <v>1</v>
      </c>
      <c r="C116" s="34" t="s">
        <v>460</v>
      </c>
      <c r="D116" s="34" t="s">
        <v>939</v>
      </c>
      <c r="E116" s="34" t="s">
        <v>415</v>
      </c>
      <c r="F116" s="33" t="s">
        <v>940</v>
      </c>
      <c r="G116" s="34" t="s">
        <v>428</v>
      </c>
      <c r="H116" s="33"/>
      <c r="I116" s="33">
        <v>7447928800</v>
      </c>
      <c r="J116" s="33" t="s">
        <v>941</v>
      </c>
      <c r="K116" s="36" t="s">
        <v>942</v>
      </c>
      <c r="L116" s="34" t="s">
        <v>408</v>
      </c>
      <c r="M116" s="34" t="s">
        <v>420</v>
      </c>
      <c r="N116" s="34" t="s">
        <v>431</v>
      </c>
      <c r="O116" s="34" t="s">
        <v>370</v>
      </c>
      <c r="P116" s="35">
        <v>45806</v>
      </c>
      <c r="Q116" s="34" t="s">
        <v>410</v>
      </c>
      <c r="R116" s="34" t="s">
        <v>422</v>
      </c>
      <c r="S116" s="35">
        <v>45790</v>
      </c>
      <c r="T116" s="33" t="s">
        <v>943</v>
      </c>
      <c r="U116" s="34" t="s">
        <v>412</v>
      </c>
      <c r="V116" s="33" t="s">
        <v>632</v>
      </c>
      <c r="W116" s="34" t="s">
        <v>423</v>
      </c>
      <c r="X116" s="34" t="s">
        <v>424</v>
      </c>
      <c r="Y116" s="33"/>
      <c r="Z116" s="33"/>
      <c r="AA116" s="33"/>
      <c r="AB116" s="33"/>
    </row>
    <row r="117" spans="1:28" ht="16" thickBot="1">
      <c r="A117" s="34" t="s">
        <v>464</v>
      </c>
      <c r="B117" s="34">
        <v>18</v>
      </c>
      <c r="C117" s="34" t="s">
        <v>500</v>
      </c>
      <c r="D117" s="34" t="s">
        <v>944</v>
      </c>
      <c r="E117" s="34" t="s">
        <v>415</v>
      </c>
      <c r="F117" s="34" t="s">
        <v>634</v>
      </c>
      <c r="G117" s="34" t="s">
        <v>428</v>
      </c>
      <c r="H117" s="33"/>
      <c r="I117" s="33"/>
      <c r="J117" s="34" t="s">
        <v>635</v>
      </c>
      <c r="K117" s="36" t="s">
        <v>945</v>
      </c>
      <c r="L117" s="34" t="s">
        <v>408</v>
      </c>
      <c r="M117" s="34" t="s">
        <v>409</v>
      </c>
      <c r="N117" s="34" t="s">
        <v>36</v>
      </c>
      <c r="O117" s="34" t="s">
        <v>545</v>
      </c>
      <c r="P117" s="35">
        <v>45808</v>
      </c>
      <c r="Q117" s="34" t="s">
        <v>432</v>
      </c>
      <c r="R117" s="34" t="s">
        <v>422</v>
      </c>
      <c r="S117" s="35">
        <v>45808</v>
      </c>
      <c r="T117" s="33"/>
      <c r="U117" s="34" t="s">
        <v>558</v>
      </c>
      <c r="V117" s="34" t="s">
        <v>422</v>
      </c>
      <c r="W117" s="34" t="s">
        <v>353</v>
      </c>
      <c r="X117" s="34" t="s">
        <v>340</v>
      </c>
      <c r="Y117" s="33"/>
      <c r="Z117" s="33"/>
      <c r="AA117" s="33"/>
      <c r="AB117" s="33"/>
    </row>
    <row r="118" spans="1:28" ht="16" thickBot="1">
      <c r="A118" s="34" t="s">
        <v>946</v>
      </c>
      <c r="B118" s="34">
        <v>1</v>
      </c>
      <c r="C118" s="34" t="s">
        <v>588</v>
      </c>
      <c r="D118" s="34" t="s">
        <v>946</v>
      </c>
      <c r="E118" s="34" t="s">
        <v>415</v>
      </c>
      <c r="F118" s="33" t="s">
        <v>947</v>
      </c>
      <c r="G118" s="34" t="s">
        <v>428</v>
      </c>
      <c r="H118" s="33"/>
      <c r="I118" s="33">
        <v>7393855111</v>
      </c>
      <c r="J118" s="33" t="s">
        <v>948</v>
      </c>
      <c r="K118" s="36" t="s">
        <v>949</v>
      </c>
      <c r="L118" s="34" t="s">
        <v>408</v>
      </c>
      <c r="M118" s="34" t="s">
        <v>409</v>
      </c>
      <c r="N118" s="34" t="s">
        <v>36</v>
      </c>
      <c r="O118" s="34" t="s">
        <v>950</v>
      </c>
      <c r="P118" s="35">
        <v>45811</v>
      </c>
      <c r="Q118" s="34" t="s">
        <v>410</v>
      </c>
      <c r="R118" s="34" t="s">
        <v>422</v>
      </c>
      <c r="S118" s="35">
        <v>45805</v>
      </c>
      <c r="T118" s="33" t="s">
        <v>951</v>
      </c>
      <c r="U118" s="34" t="s">
        <v>412</v>
      </c>
      <c r="V118" s="34" t="s">
        <v>422</v>
      </c>
      <c r="W118" s="34" t="s">
        <v>353</v>
      </c>
      <c r="X118" s="34" t="s">
        <v>340</v>
      </c>
      <c r="Y118" s="34">
        <v>241489</v>
      </c>
      <c r="Z118" s="33"/>
      <c r="AA118" s="33"/>
      <c r="AB118" s="33"/>
    </row>
    <row r="119" spans="1:28" ht="16" thickBot="1">
      <c r="A119" s="34" t="s">
        <v>952</v>
      </c>
      <c r="B119" s="34">
        <v>1</v>
      </c>
      <c r="C119" s="34" t="s">
        <v>500</v>
      </c>
      <c r="D119" s="34" t="s">
        <v>952</v>
      </c>
      <c r="E119" s="34" t="s">
        <v>415</v>
      </c>
      <c r="F119" s="33" t="s">
        <v>953</v>
      </c>
      <c r="G119" s="34" t="s">
        <v>428</v>
      </c>
      <c r="H119" s="33"/>
      <c r="I119" s="33">
        <v>7479401075</v>
      </c>
      <c r="J119" s="33" t="s">
        <v>954</v>
      </c>
      <c r="K119" s="36" t="s">
        <v>955</v>
      </c>
      <c r="L119" s="34" t="s">
        <v>408</v>
      </c>
      <c r="M119" s="34" t="s">
        <v>420</v>
      </c>
      <c r="N119" s="34" t="s">
        <v>431</v>
      </c>
      <c r="O119" s="34" t="s">
        <v>559</v>
      </c>
      <c r="P119" s="35">
        <v>45813</v>
      </c>
      <c r="Q119" s="34" t="s">
        <v>410</v>
      </c>
      <c r="R119" s="34" t="s">
        <v>551</v>
      </c>
      <c r="S119" s="35">
        <v>45808</v>
      </c>
      <c r="T119" s="33" t="s">
        <v>956</v>
      </c>
      <c r="U119" s="34" t="s">
        <v>412</v>
      </c>
      <c r="V119" s="33" t="s">
        <v>632</v>
      </c>
      <c r="W119" s="34" t="s">
        <v>423</v>
      </c>
      <c r="X119" s="34" t="s">
        <v>424</v>
      </c>
      <c r="Y119" s="33"/>
      <c r="Z119" s="33"/>
      <c r="AA119" s="33"/>
      <c r="AB119" s="33"/>
    </row>
    <row r="120" spans="1:28" ht="16" thickBot="1">
      <c r="A120" s="34" t="s">
        <v>957</v>
      </c>
      <c r="B120" s="34">
        <v>1</v>
      </c>
      <c r="C120" s="34" t="s">
        <v>958</v>
      </c>
      <c r="D120" s="34" t="s">
        <v>957</v>
      </c>
      <c r="E120" s="34" t="s">
        <v>415</v>
      </c>
      <c r="F120" s="33" t="s">
        <v>959</v>
      </c>
      <c r="G120" s="34" t="s">
        <v>417</v>
      </c>
      <c r="H120" s="33"/>
      <c r="I120" s="33">
        <v>7474226980</v>
      </c>
      <c r="J120" s="33" t="s">
        <v>960</v>
      </c>
      <c r="K120" s="36" t="s">
        <v>961</v>
      </c>
      <c r="L120" s="34" t="s">
        <v>408</v>
      </c>
      <c r="M120" s="34" t="s">
        <v>420</v>
      </c>
      <c r="N120" s="34" t="s">
        <v>431</v>
      </c>
      <c r="O120" s="34" t="s">
        <v>559</v>
      </c>
      <c r="P120" s="35">
        <v>45817</v>
      </c>
      <c r="Q120" s="34" t="s">
        <v>410</v>
      </c>
      <c r="R120" s="34" t="s">
        <v>551</v>
      </c>
      <c r="S120" s="35">
        <v>45807</v>
      </c>
      <c r="T120" s="34" t="s">
        <v>962</v>
      </c>
      <c r="U120" s="34" t="s">
        <v>412</v>
      </c>
      <c r="V120" s="34" t="s">
        <v>762</v>
      </c>
      <c r="W120" s="34" t="s">
        <v>423</v>
      </c>
      <c r="X120" s="34" t="s">
        <v>424</v>
      </c>
      <c r="Y120" s="34">
        <v>241471</v>
      </c>
      <c r="Z120" s="33"/>
      <c r="AA120" s="33"/>
      <c r="AB120" s="33"/>
    </row>
    <row r="121" spans="1:28" ht="16" thickBot="1">
      <c r="A121" s="34" t="s">
        <v>648</v>
      </c>
      <c r="B121" s="34">
        <v>2</v>
      </c>
      <c r="C121" s="34" t="s">
        <v>445</v>
      </c>
      <c r="D121" s="34" t="s">
        <v>963</v>
      </c>
      <c r="E121" s="34" t="s">
        <v>415</v>
      </c>
      <c r="F121" s="33" t="s">
        <v>649</v>
      </c>
      <c r="G121" s="34" t="s">
        <v>428</v>
      </c>
      <c r="H121" s="33"/>
      <c r="I121" s="33">
        <v>7816440947</v>
      </c>
      <c r="J121" s="33" t="s">
        <v>254</v>
      </c>
      <c r="K121" s="34" t="s">
        <v>407</v>
      </c>
      <c r="L121" s="34" t="s">
        <v>408</v>
      </c>
      <c r="M121" s="34" t="s">
        <v>409</v>
      </c>
      <c r="N121" s="34" t="s">
        <v>13</v>
      </c>
      <c r="O121" s="34" t="s">
        <v>369</v>
      </c>
      <c r="P121" s="35">
        <v>45817</v>
      </c>
      <c r="Q121" s="34" t="s">
        <v>432</v>
      </c>
      <c r="R121" s="34" t="s">
        <v>551</v>
      </c>
      <c r="S121" s="35">
        <v>45601</v>
      </c>
      <c r="T121" s="33" t="s">
        <v>651</v>
      </c>
      <c r="U121" s="34" t="s">
        <v>412</v>
      </c>
      <c r="V121" s="33" t="s">
        <v>652</v>
      </c>
      <c r="W121" s="34" t="s">
        <v>353</v>
      </c>
      <c r="X121" s="34" t="s">
        <v>340</v>
      </c>
      <c r="Y121" s="33"/>
      <c r="Z121" s="33"/>
      <c r="AA121" s="33"/>
      <c r="AB121" s="33"/>
    </row>
    <row r="122" spans="1:28" ht="16" thickBot="1">
      <c r="A122" s="34" t="s">
        <v>964</v>
      </c>
      <c r="B122" s="34">
        <v>1</v>
      </c>
      <c r="C122" s="34" t="s">
        <v>736</v>
      </c>
      <c r="D122" s="34" t="s">
        <v>964</v>
      </c>
      <c r="E122" s="34" t="s">
        <v>627</v>
      </c>
      <c r="F122" s="34" t="s">
        <v>965</v>
      </c>
      <c r="G122" s="34" t="s">
        <v>417</v>
      </c>
      <c r="H122" s="33"/>
      <c r="I122" s="34">
        <v>7710268307</v>
      </c>
      <c r="J122" s="34" t="s">
        <v>966</v>
      </c>
      <c r="K122" s="36" t="s">
        <v>967</v>
      </c>
      <c r="L122" s="34" t="s">
        <v>408</v>
      </c>
      <c r="M122" s="34" t="s">
        <v>409</v>
      </c>
      <c r="N122" s="34" t="s">
        <v>13</v>
      </c>
      <c r="O122" s="34" t="s">
        <v>364</v>
      </c>
      <c r="P122" s="35">
        <v>45818</v>
      </c>
      <c r="Q122" s="34" t="s">
        <v>410</v>
      </c>
      <c r="R122" s="34" t="s">
        <v>551</v>
      </c>
      <c r="S122" s="35">
        <v>45811</v>
      </c>
      <c r="T122" s="34" t="s">
        <v>968</v>
      </c>
      <c r="U122" s="34" t="s">
        <v>412</v>
      </c>
      <c r="V122" s="34" t="s">
        <v>652</v>
      </c>
      <c r="W122" s="34" t="s">
        <v>353</v>
      </c>
      <c r="X122" s="34" t="s">
        <v>340</v>
      </c>
      <c r="Y122" s="33"/>
      <c r="Z122" s="33"/>
      <c r="AA122" s="33"/>
      <c r="AB122" s="33"/>
    </row>
    <row r="123" spans="1:28" ht="16" thickBot="1">
      <c r="A123" s="34" t="s">
        <v>969</v>
      </c>
      <c r="B123" s="34">
        <v>1</v>
      </c>
      <c r="C123" s="34" t="s">
        <v>958</v>
      </c>
      <c r="D123" s="34" t="s">
        <v>969</v>
      </c>
      <c r="E123" s="34" t="s">
        <v>415</v>
      </c>
      <c r="F123" s="34" t="s">
        <v>970</v>
      </c>
      <c r="G123" s="34" t="s">
        <v>417</v>
      </c>
      <c r="H123" s="33"/>
      <c r="I123" s="33">
        <v>7956905095</v>
      </c>
      <c r="J123" s="33" t="s">
        <v>971</v>
      </c>
      <c r="K123" s="36" t="s">
        <v>972</v>
      </c>
      <c r="L123" s="34" t="s">
        <v>408</v>
      </c>
      <c r="M123" s="34" t="s">
        <v>420</v>
      </c>
      <c r="N123" s="34" t="s">
        <v>937</v>
      </c>
      <c r="O123" s="34" t="s">
        <v>640</v>
      </c>
      <c r="P123" s="35">
        <v>45819</v>
      </c>
      <c r="Q123" s="34" t="s">
        <v>410</v>
      </c>
      <c r="R123" s="34" t="s">
        <v>551</v>
      </c>
      <c r="S123" s="35">
        <v>45814</v>
      </c>
      <c r="T123" s="33" t="s">
        <v>973</v>
      </c>
      <c r="U123" s="34" t="s">
        <v>412</v>
      </c>
      <c r="V123" s="34" t="s">
        <v>974</v>
      </c>
      <c r="W123" s="34" t="s">
        <v>423</v>
      </c>
      <c r="X123" s="34" t="s">
        <v>424</v>
      </c>
      <c r="Y123" s="33"/>
      <c r="Z123" s="33"/>
      <c r="AA123" s="33"/>
      <c r="AB123" s="33"/>
    </row>
    <row r="124" spans="1:28" ht="16" thickBot="1">
      <c r="A124" s="34" t="s">
        <v>975</v>
      </c>
      <c r="B124" s="34">
        <v>1</v>
      </c>
      <c r="C124" s="34" t="s">
        <v>414</v>
      </c>
      <c r="D124" s="34" t="s">
        <v>976</v>
      </c>
      <c r="E124" s="34" t="s">
        <v>415</v>
      </c>
      <c r="F124" s="34" t="s">
        <v>788</v>
      </c>
      <c r="G124" s="33"/>
      <c r="H124" s="33"/>
      <c r="I124" s="33"/>
      <c r="J124" s="33"/>
      <c r="K124" s="34" t="s">
        <v>407</v>
      </c>
      <c r="L124" s="34" t="s">
        <v>408</v>
      </c>
      <c r="M124" s="34" t="s">
        <v>409</v>
      </c>
      <c r="N124" s="34" t="s">
        <v>13</v>
      </c>
      <c r="O124" s="34" t="s">
        <v>977</v>
      </c>
      <c r="P124" s="35">
        <v>45820</v>
      </c>
      <c r="Q124" s="34" t="s">
        <v>410</v>
      </c>
      <c r="R124" s="34" t="s">
        <v>551</v>
      </c>
      <c r="S124" s="35">
        <v>45820</v>
      </c>
      <c r="T124" s="33"/>
      <c r="U124" s="33"/>
      <c r="V124" s="33"/>
      <c r="W124" s="34" t="s">
        <v>353</v>
      </c>
      <c r="X124" s="34" t="s">
        <v>340</v>
      </c>
      <c r="Y124" s="33"/>
      <c r="Z124" s="33"/>
      <c r="AA124" s="33"/>
      <c r="AB124" s="33"/>
    </row>
    <row r="125" spans="1:28" ht="16" thickBot="1">
      <c r="A125" s="34" t="s">
        <v>978</v>
      </c>
      <c r="B125" s="34">
        <v>1</v>
      </c>
      <c r="C125" s="34" t="s">
        <v>414</v>
      </c>
      <c r="D125" s="34" t="s">
        <v>978</v>
      </c>
      <c r="E125" s="34" t="s">
        <v>478</v>
      </c>
      <c r="F125" s="33" t="s">
        <v>979</v>
      </c>
      <c r="G125" s="34" t="s">
        <v>417</v>
      </c>
      <c r="H125" s="33"/>
      <c r="I125" s="33">
        <v>7751844300</v>
      </c>
      <c r="J125" s="33" t="s">
        <v>980</v>
      </c>
      <c r="K125" s="36" t="s">
        <v>981</v>
      </c>
      <c r="L125" s="34" t="s">
        <v>408</v>
      </c>
      <c r="M125" s="34" t="s">
        <v>420</v>
      </c>
      <c r="N125" s="34" t="s">
        <v>431</v>
      </c>
      <c r="O125" s="34" t="s">
        <v>559</v>
      </c>
      <c r="P125" s="35">
        <v>45822</v>
      </c>
      <c r="Q125" s="34" t="s">
        <v>410</v>
      </c>
      <c r="R125" s="34" t="s">
        <v>551</v>
      </c>
      <c r="S125" s="35">
        <v>45813</v>
      </c>
      <c r="T125" s="33" t="s">
        <v>982</v>
      </c>
      <c r="U125" s="34" t="s">
        <v>412</v>
      </c>
      <c r="V125" s="33" t="s">
        <v>762</v>
      </c>
      <c r="W125" s="34" t="s">
        <v>423</v>
      </c>
      <c r="X125" s="34" t="s">
        <v>424</v>
      </c>
      <c r="Y125" s="33"/>
      <c r="Z125" s="33"/>
      <c r="AA125" s="33"/>
      <c r="AB125" s="33"/>
    </row>
    <row r="126" spans="1:28" ht="16" thickBot="1">
      <c r="A126" s="34" t="s">
        <v>614</v>
      </c>
      <c r="B126" s="34">
        <v>2</v>
      </c>
      <c r="C126" s="34" t="s">
        <v>615</v>
      </c>
      <c r="D126" s="34" t="s">
        <v>614</v>
      </c>
      <c r="E126" s="34" t="s">
        <v>415</v>
      </c>
      <c r="F126" s="34" t="s">
        <v>616</v>
      </c>
      <c r="G126" s="34" t="s">
        <v>428</v>
      </c>
      <c r="H126" s="33"/>
      <c r="I126" s="33">
        <v>7475214014</v>
      </c>
      <c r="J126" s="33" t="s">
        <v>617</v>
      </c>
      <c r="K126" s="36" t="s">
        <v>618</v>
      </c>
      <c r="L126" s="34" t="s">
        <v>408</v>
      </c>
      <c r="M126" s="34" t="s">
        <v>420</v>
      </c>
      <c r="N126" s="34" t="s">
        <v>431</v>
      </c>
      <c r="O126" s="34" t="s">
        <v>983</v>
      </c>
      <c r="P126" s="35">
        <v>45824</v>
      </c>
      <c r="Q126" s="34" t="s">
        <v>432</v>
      </c>
      <c r="R126" s="34" t="s">
        <v>422</v>
      </c>
      <c r="S126" s="35">
        <v>45518</v>
      </c>
      <c r="T126" s="33" t="s">
        <v>619</v>
      </c>
      <c r="U126" s="34" t="s">
        <v>412</v>
      </c>
      <c r="V126" s="33" t="s">
        <v>613</v>
      </c>
      <c r="W126" s="34" t="s">
        <v>423</v>
      </c>
      <c r="X126" s="34" t="s">
        <v>424</v>
      </c>
      <c r="Y126" s="34">
        <v>241392</v>
      </c>
      <c r="Z126" s="33"/>
      <c r="AA126" s="33"/>
      <c r="AB126" s="33"/>
    </row>
    <row r="127" spans="1:28" ht="16" thickBot="1">
      <c r="A127" s="34" t="s">
        <v>984</v>
      </c>
      <c r="B127" s="34">
        <v>1</v>
      </c>
      <c r="C127" s="34" t="s">
        <v>460</v>
      </c>
      <c r="D127" s="34" t="s">
        <v>984</v>
      </c>
      <c r="E127" s="34" t="s">
        <v>415</v>
      </c>
      <c r="F127" s="33" t="s">
        <v>985</v>
      </c>
      <c r="G127" s="34" t="s">
        <v>428</v>
      </c>
      <c r="H127" s="33">
        <v>1724333333</v>
      </c>
      <c r="I127" s="33"/>
      <c r="J127" s="33" t="s">
        <v>986</v>
      </c>
      <c r="K127" s="36" t="s">
        <v>987</v>
      </c>
      <c r="L127" s="34" t="s">
        <v>408</v>
      </c>
      <c r="M127" s="34" t="s">
        <v>420</v>
      </c>
      <c r="N127" s="34" t="s">
        <v>937</v>
      </c>
      <c r="O127" s="34" t="s">
        <v>438</v>
      </c>
      <c r="P127" s="35">
        <v>45826</v>
      </c>
      <c r="Q127" s="34" t="s">
        <v>410</v>
      </c>
      <c r="R127" s="34" t="s">
        <v>551</v>
      </c>
      <c r="S127" s="35">
        <v>45782</v>
      </c>
      <c r="T127" s="34" t="s">
        <v>988</v>
      </c>
      <c r="U127" s="34" t="s">
        <v>412</v>
      </c>
      <c r="V127" s="34" t="s">
        <v>624</v>
      </c>
      <c r="W127" s="34" t="s">
        <v>423</v>
      </c>
      <c r="X127" s="34" t="s">
        <v>424</v>
      </c>
      <c r="Y127" s="34">
        <v>241490</v>
      </c>
      <c r="Z127" s="33"/>
      <c r="AA127" s="33"/>
      <c r="AB127" s="33"/>
    </row>
    <row r="128" spans="1:28" ht="16" thickBot="1">
      <c r="A128" s="34" t="s">
        <v>989</v>
      </c>
      <c r="B128" s="34">
        <v>1</v>
      </c>
      <c r="C128" s="34" t="s">
        <v>455</v>
      </c>
      <c r="D128" s="34" t="s">
        <v>989</v>
      </c>
      <c r="E128" s="34" t="s">
        <v>415</v>
      </c>
      <c r="F128" s="33" t="s">
        <v>990</v>
      </c>
      <c r="G128" s="34" t="s">
        <v>428</v>
      </c>
      <c r="H128" s="33"/>
      <c r="I128" s="33">
        <v>7970065761</v>
      </c>
      <c r="J128" s="33" t="s">
        <v>253</v>
      </c>
      <c r="K128" s="36" t="s">
        <v>991</v>
      </c>
      <c r="L128" s="34" t="s">
        <v>408</v>
      </c>
      <c r="M128" s="34" t="s">
        <v>409</v>
      </c>
      <c r="N128" s="34" t="s">
        <v>13</v>
      </c>
      <c r="O128" s="34" t="s">
        <v>992</v>
      </c>
      <c r="P128" s="35">
        <v>45828</v>
      </c>
      <c r="Q128" s="34" t="s">
        <v>410</v>
      </c>
      <c r="R128" s="34" t="s">
        <v>551</v>
      </c>
      <c r="S128" s="35">
        <v>45825</v>
      </c>
      <c r="T128" s="33" t="s">
        <v>993</v>
      </c>
      <c r="U128" s="34" t="s">
        <v>412</v>
      </c>
      <c r="V128" s="33" t="s">
        <v>652</v>
      </c>
      <c r="W128" s="34" t="s">
        <v>353</v>
      </c>
      <c r="X128" s="34" t="s">
        <v>340</v>
      </c>
      <c r="Y128" s="33"/>
      <c r="Z128" s="33"/>
      <c r="AA128" s="33"/>
      <c r="AB128" s="33"/>
    </row>
    <row r="129" spans="1:28" ht="16" thickBot="1">
      <c r="A129" s="34" t="s">
        <v>464</v>
      </c>
      <c r="B129" s="34">
        <v>19</v>
      </c>
      <c r="C129" s="34" t="s">
        <v>465</v>
      </c>
      <c r="D129" s="34" t="s">
        <v>994</v>
      </c>
      <c r="E129" s="34" t="s">
        <v>415</v>
      </c>
      <c r="F129" s="34" t="s">
        <v>554</v>
      </c>
      <c r="G129" s="34" t="s">
        <v>428</v>
      </c>
      <c r="H129" s="34">
        <v>1327703841</v>
      </c>
      <c r="I129" s="33"/>
      <c r="J129" s="33"/>
      <c r="K129" s="36" t="s">
        <v>995</v>
      </c>
      <c r="L129" s="34" t="s">
        <v>408</v>
      </c>
      <c r="M129" s="34" t="s">
        <v>409</v>
      </c>
      <c r="N129" s="34" t="s">
        <v>19</v>
      </c>
      <c r="O129" s="34" t="s">
        <v>364</v>
      </c>
      <c r="P129" s="35">
        <v>45828</v>
      </c>
      <c r="Q129" s="34" t="s">
        <v>410</v>
      </c>
      <c r="R129" s="34" t="s">
        <v>422</v>
      </c>
      <c r="S129" s="35">
        <v>45828</v>
      </c>
      <c r="T129" s="33"/>
      <c r="U129" s="33"/>
      <c r="V129" s="33"/>
      <c r="W129" s="34" t="s">
        <v>353</v>
      </c>
      <c r="X129" s="34" t="s">
        <v>340</v>
      </c>
      <c r="Y129" s="33"/>
      <c r="Z129" s="33"/>
      <c r="AA129" s="33"/>
      <c r="AB129" s="33"/>
    </row>
    <row r="130" spans="1:28" ht="16" thickBot="1">
      <c r="A130" s="34" t="s">
        <v>996</v>
      </c>
      <c r="B130" s="34">
        <v>1</v>
      </c>
      <c r="C130" s="34" t="s">
        <v>825</v>
      </c>
      <c r="D130" s="34" t="s">
        <v>996</v>
      </c>
      <c r="E130" s="34" t="s">
        <v>415</v>
      </c>
      <c r="F130" s="33"/>
      <c r="G130" s="33"/>
      <c r="H130" s="33"/>
      <c r="I130" s="33"/>
      <c r="J130" s="33"/>
      <c r="K130" s="36" t="s">
        <v>997</v>
      </c>
      <c r="L130" s="34" t="s">
        <v>408</v>
      </c>
      <c r="M130" s="34" t="s">
        <v>409</v>
      </c>
      <c r="N130" s="34" t="s">
        <v>13</v>
      </c>
      <c r="O130" s="34" t="s">
        <v>364</v>
      </c>
      <c r="P130" s="35">
        <v>45832</v>
      </c>
      <c r="Q130" s="34" t="s">
        <v>410</v>
      </c>
      <c r="R130" s="34" t="s">
        <v>551</v>
      </c>
      <c r="S130" s="35">
        <v>45832</v>
      </c>
      <c r="T130" s="33"/>
      <c r="U130" s="33"/>
      <c r="V130" s="33"/>
      <c r="W130" s="34" t="s">
        <v>353</v>
      </c>
      <c r="X130" s="34" t="s">
        <v>340</v>
      </c>
      <c r="Y130" s="33"/>
      <c r="Z130" s="33"/>
      <c r="AA130" s="33"/>
      <c r="AB130" s="33"/>
    </row>
    <row r="131" spans="1:28" ht="16" thickBot="1">
      <c r="A131" s="34" t="s">
        <v>998</v>
      </c>
      <c r="B131" s="34">
        <v>1</v>
      </c>
      <c r="C131" s="34" t="s">
        <v>683</v>
      </c>
      <c r="D131" s="34" t="s">
        <v>999</v>
      </c>
      <c r="E131" s="39" t="s">
        <v>415</v>
      </c>
      <c r="F131" s="34" t="s">
        <v>1000</v>
      </c>
      <c r="G131" s="34" t="s">
        <v>428</v>
      </c>
      <c r="H131" s="33"/>
      <c r="I131" s="34">
        <v>7771511462</v>
      </c>
      <c r="J131" s="34" t="s">
        <v>1001</v>
      </c>
      <c r="K131" s="36" t="s">
        <v>1002</v>
      </c>
      <c r="L131" s="34" t="s">
        <v>408</v>
      </c>
      <c r="M131" s="34" t="s">
        <v>420</v>
      </c>
      <c r="N131" s="34" t="s">
        <v>431</v>
      </c>
      <c r="O131" s="34" t="s">
        <v>370</v>
      </c>
      <c r="P131" s="35">
        <v>45834</v>
      </c>
      <c r="Q131" s="34" t="s">
        <v>410</v>
      </c>
      <c r="R131" s="34" t="s">
        <v>422</v>
      </c>
      <c r="S131" s="35">
        <v>45793</v>
      </c>
      <c r="T131" s="34" t="s">
        <v>1003</v>
      </c>
      <c r="U131" s="34" t="s">
        <v>412</v>
      </c>
      <c r="V131" s="34" t="s">
        <v>624</v>
      </c>
      <c r="W131" s="34" t="s">
        <v>423</v>
      </c>
      <c r="X131" s="34" t="s">
        <v>424</v>
      </c>
      <c r="Y131" s="34">
        <v>241494</v>
      </c>
      <c r="Z131" s="33"/>
      <c r="AA131" s="33"/>
      <c r="AB131" s="33"/>
    </row>
    <row r="132" spans="1:28" ht="16" thickBot="1">
      <c r="A132" s="34" t="s">
        <v>705</v>
      </c>
      <c r="B132" s="34">
        <v>2</v>
      </c>
      <c r="C132" s="34" t="s">
        <v>500</v>
      </c>
      <c r="D132" s="34" t="s">
        <v>1004</v>
      </c>
      <c r="E132" s="34" t="s">
        <v>415</v>
      </c>
      <c r="F132" s="40" t="s">
        <v>707</v>
      </c>
      <c r="G132" s="34" t="s">
        <v>417</v>
      </c>
      <c r="H132" s="33"/>
      <c r="I132" s="40">
        <v>7448487279</v>
      </c>
      <c r="J132" s="40" t="s">
        <v>708</v>
      </c>
      <c r="K132" s="36" t="s">
        <v>709</v>
      </c>
      <c r="L132" s="34" t="s">
        <v>408</v>
      </c>
      <c r="M132" s="34" t="s">
        <v>409</v>
      </c>
      <c r="N132" s="34" t="s">
        <v>13</v>
      </c>
      <c r="O132" s="34" t="s">
        <v>352</v>
      </c>
      <c r="P132" s="35">
        <v>45838</v>
      </c>
      <c r="Q132" s="34" t="s">
        <v>432</v>
      </c>
      <c r="R132" s="34" t="s">
        <v>551</v>
      </c>
      <c r="S132" s="35">
        <v>45629</v>
      </c>
      <c r="T132" s="34" t="s">
        <v>710</v>
      </c>
      <c r="U132" s="34" t="s">
        <v>412</v>
      </c>
      <c r="V132" s="40" t="s">
        <v>632</v>
      </c>
      <c r="W132" s="34" t="s">
        <v>353</v>
      </c>
      <c r="X132" s="34" t="s">
        <v>340</v>
      </c>
      <c r="Y132" s="33"/>
      <c r="Z132" s="33"/>
      <c r="AA132" s="33"/>
      <c r="AB132" s="33"/>
    </row>
    <row r="133" spans="1:28" ht="16" thickBot="1">
      <c r="A133" s="34" t="s">
        <v>1005</v>
      </c>
      <c r="B133" s="34">
        <v>1</v>
      </c>
      <c r="C133" s="34" t="s">
        <v>683</v>
      </c>
      <c r="D133" s="34" t="s">
        <v>1005</v>
      </c>
      <c r="E133" s="39" t="s">
        <v>415</v>
      </c>
      <c r="F133" s="34" t="s">
        <v>1006</v>
      </c>
      <c r="G133" s="34" t="s">
        <v>428</v>
      </c>
      <c r="H133" s="33"/>
      <c r="I133" s="34">
        <v>7828256777</v>
      </c>
      <c r="J133" s="34" t="s">
        <v>1007</v>
      </c>
      <c r="K133" s="34" t="s">
        <v>407</v>
      </c>
      <c r="L133" s="34" t="s">
        <v>408</v>
      </c>
      <c r="M133" s="34" t="s">
        <v>409</v>
      </c>
      <c r="N133" s="34" t="s">
        <v>13</v>
      </c>
      <c r="O133" s="34" t="s">
        <v>364</v>
      </c>
      <c r="P133" s="35">
        <v>45840</v>
      </c>
      <c r="Q133" s="34" t="s">
        <v>410</v>
      </c>
      <c r="R133" s="34" t="s">
        <v>551</v>
      </c>
      <c r="S133" s="35">
        <v>45834</v>
      </c>
      <c r="T133" s="34" t="s">
        <v>1008</v>
      </c>
      <c r="U133" s="34" t="s">
        <v>412</v>
      </c>
      <c r="V133" s="34" t="s">
        <v>1009</v>
      </c>
      <c r="W133" s="34" t="s">
        <v>353</v>
      </c>
      <c r="X133" s="34" t="s">
        <v>340</v>
      </c>
      <c r="Y133" s="34">
        <v>241514</v>
      </c>
      <c r="Z133" s="33"/>
      <c r="AA133" s="33"/>
      <c r="AB133" s="33"/>
    </row>
    <row r="134" spans="1:28" ht="16" thickBot="1">
      <c r="A134" s="34" t="s">
        <v>834</v>
      </c>
      <c r="B134" s="34">
        <v>2</v>
      </c>
      <c r="C134" s="34" t="s">
        <v>670</v>
      </c>
      <c r="D134" s="34" t="s">
        <v>834</v>
      </c>
      <c r="E134" s="33"/>
      <c r="F134" s="33"/>
      <c r="G134" s="33"/>
      <c r="H134" s="33"/>
      <c r="I134" s="33"/>
      <c r="J134" s="33"/>
      <c r="K134" s="36" t="s">
        <v>1010</v>
      </c>
      <c r="L134" s="34" t="s">
        <v>408</v>
      </c>
      <c r="M134" s="34" t="s">
        <v>420</v>
      </c>
      <c r="N134" s="34" t="s">
        <v>431</v>
      </c>
      <c r="O134" s="34" t="s">
        <v>559</v>
      </c>
      <c r="P134" s="35">
        <v>45842</v>
      </c>
      <c r="Q134" s="34" t="s">
        <v>432</v>
      </c>
      <c r="R134" s="34" t="s">
        <v>551</v>
      </c>
      <c r="S134" s="35">
        <v>45842</v>
      </c>
      <c r="T134" s="33"/>
      <c r="U134" s="33"/>
      <c r="V134" s="33"/>
      <c r="W134" s="34" t="s">
        <v>423</v>
      </c>
      <c r="X134" s="82" t="s">
        <v>424</v>
      </c>
      <c r="Y134" s="83"/>
      <c r="Z134" s="33"/>
      <c r="AA134" s="33"/>
      <c r="AB134" s="33"/>
    </row>
    <row r="135" spans="1:28" ht="16" thickBot="1">
      <c r="A135" s="34" t="s">
        <v>1011</v>
      </c>
      <c r="B135" s="34">
        <v>2</v>
      </c>
      <c r="C135" s="34" t="s">
        <v>615</v>
      </c>
      <c r="D135" s="34" t="s">
        <v>1011</v>
      </c>
      <c r="E135" s="33"/>
      <c r="F135" s="33"/>
      <c r="G135" s="33"/>
      <c r="H135" s="33"/>
      <c r="I135" s="33"/>
      <c r="J135" s="33"/>
      <c r="K135" s="36" t="s">
        <v>1012</v>
      </c>
      <c r="L135" s="34" t="s">
        <v>408</v>
      </c>
      <c r="M135" s="34" t="s">
        <v>409</v>
      </c>
      <c r="N135" s="34" t="s">
        <v>13</v>
      </c>
      <c r="O135" s="34" t="s">
        <v>1013</v>
      </c>
      <c r="P135" s="35">
        <v>45842</v>
      </c>
      <c r="Q135" s="34" t="s">
        <v>432</v>
      </c>
      <c r="R135" s="34" t="s">
        <v>817</v>
      </c>
      <c r="S135" s="35">
        <v>45842</v>
      </c>
      <c r="T135" s="33"/>
      <c r="U135" s="33"/>
      <c r="V135" s="33"/>
      <c r="W135" s="34" t="s">
        <v>353</v>
      </c>
      <c r="X135" s="34" t="s">
        <v>340</v>
      </c>
      <c r="Y135" s="33"/>
      <c r="Z135" s="33"/>
      <c r="AA135" s="33"/>
      <c r="AB135" s="33"/>
    </row>
    <row r="136" spans="1:28" ht="16" thickBot="1">
      <c r="A136" s="34" t="s">
        <v>464</v>
      </c>
      <c r="B136" s="34">
        <v>20</v>
      </c>
      <c r="C136" s="34" t="s">
        <v>465</v>
      </c>
      <c r="D136" s="34" t="s">
        <v>1014</v>
      </c>
      <c r="E136" s="33"/>
      <c r="F136" s="33"/>
      <c r="G136" s="33"/>
      <c r="H136" s="33"/>
      <c r="I136" s="33"/>
      <c r="J136" s="33"/>
      <c r="K136" s="36" t="s">
        <v>1015</v>
      </c>
      <c r="L136" s="34" t="s">
        <v>408</v>
      </c>
      <c r="M136" s="34" t="s">
        <v>409</v>
      </c>
      <c r="N136" s="34" t="s">
        <v>19</v>
      </c>
      <c r="O136" s="34" t="s">
        <v>1016</v>
      </c>
      <c r="P136" s="35">
        <v>45847</v>
      </c>
      <c r="Q136" s="34" t="s">
        <v>410</v>
      </c>
      <c r="R136" s="34" t="s">
        <v>422</v>
      </c>
      <c r="S136" s="35">
        <v>45847</v>
      </c>
      <c r="T136" s="33"/>
      <c r="U136" s="33"/>
      <c r="V136" s="33"/>
      <c r="W136" s="34" t="s">
        <v>353</v>
      </c>
      <c r="X136" s="34" t="s">
        <v>340</v>
      </c>
      <c r="Y136" s="33"/>
      <c r="Z136" s="33"/>
      <c r="AA136" s="33"/>
      <c r="AB136" s="33"/>
    </row>
    <row r="137" spans="1:28" ht="16" thickBot="1">
      <c r="A137" s="34" t="s">
        <v>1017</v>
      </c>
      <c r="B137" s="34">
        <v>1</v>
      </c>
      <c r="C137" s="34" t="s">
        <v>534</v>
      </c>
      <c r="D137" s="34" t="s">
        <v>1017</v>
      </c>
      <c r="E137" s="33"/>
      <c r="F137" s="33"/>
      <c r="G137" s="33"/>
      <c r="H137" s="33"/>
      <c r="I137" s="33"/>
      <c r="J137" s="33"/>
      <c r="K137" s="36" t="s">
        <v>1018</v>
      </c>
      <c r="L137" s="34" t="s">
        <v>408</v>
      </c>
      <c r="M137" s="34" t="s">
        <v>409</v>
      </c>
      <c r="N137" s="34" t="s">
        <v>13</v>
      </c>
      <c r="O137" s="34" t="s">
        <v>364</v>
      </c>
      <c r="P137" s="35">
        <v>45852</v>
      </c>
      <c r="Q137" s="34" t="s">
        <v>410</v>
      </c>
      <c r="R137" s="34" t="s">
        <v>551</v>
      </c>
      <c r="S137" s="35">
        <v>45852</v>
      </c>
      <c r="T137" s="33"/>
      <c r="U137" s="33"/>
      <c r="V137" s="33"/>
      <c r="W137" s="34" t="s">
        <v>353</v>
      </c>
      <c r="X137" s="34" t="s">
        <v>340</v>
      </c>
      <c r="Y137" s="33"/>
      <c r="Z137" s="33"/>
      <c r="AA137" s="33"/>
      <c r="AB137" s="33"/>
    </row>
    <row r="138" spans="1:28" ht="16" thickBot="1">
      <c r="A138" s="34" t="s">
        <v>1019</v>
      </c>
      <c r="B138" s="34">
        <v>1</v>
      </c>
      <c r="C138" s="34" t="s">
        <v>626</v>
      </c>
      <c r="D138" s="34" t="s">
        <v>1019</v>
      </c>
      <c r="E138" s="33"/>
      <c r="F138" s="33"/>
      <c r="G138" s="33"/>
      <c r="H138" s="33"/>
      <c r="I138" s="33"/>
      <c r="J138" s="33"/>
      <c r="K138" s="36" t="s">
        <v>1020</v>
      </c>
      <c r="L138" s="34" t="s">
        <v>408</v>
      </c>
      <c r="M138" s="34" t="s">
        <v>409</v>
      </c>
      <c r="N138" s="34" t="s">
        <v>13</v>
      </c>
      <c r="O138" s="34" t="s">
        <v>364</v>
      </c>
      <c r="P138" s="35">
        <v>45853</v>
      </c>
      <c r="Q138" s="34" t="s">
        <v>410</v>
      </c>
      <c r="R138" s="34" t="s">
        <v>551</v>
      </c>
      <c r="S138" s="35">
        <v>45853</v>
      </c>
      <c r="T138" s="33"/>
      <c r="U138" s="33"/>
      <c r="V138" s="33"/>
      <c r="W138" s="34" t="s">
        <v>353</v>
      </c>
      <c r="X138" s="34" t="s">
        <v>340</v>
      </c>
      <c r="Y138" s="33"/>
      <c r="Z138" s="33"/>
      <c r="AA138" s="33"/>
      <c r="AB138" s="33"/>
    </row>
    <row r="139" spans="1:28" ht="16" thickBot="1">
      <c r="A139" s="34" t="s">
        <v>1021</v>
      </c>
      <c r="B139" s="34">
        <v>1</v>
      </c>
      <c r="C139" s="34" t="s">
        <v>477</v>
      </c>
      <c r="D139" s="34" t="s">
        <v>1021</v>
      </c>
      <c r="E139" s="33"/>
      <c r="F139" s="33"/>
      <c r="G139" s="33"/>
      <c r="H139" s="33"/>
      <c r="I139" s="33"/>
      <c r="J139" s="33"/>
      <c r="K139" s="36" t="s">
        <v>1022</v>
      </c>
      <c r="L139" s="34" t="s">
        <v>408</v>
      </c>
      <c r="M139" s="34" t="s">
        <v>409</v>
      </c>
      <c r="N139" s="34" t="s">
        <v>13</v>
      </c>
      <c r="O139" s="34" t="s">
        <v>382</v>
      </c>
      <c r="P139" s="35">
        <v>45854</v>
      </c>
      <c r="Q139" s="34" t="s">
        <v>410</v>
      </c>
      <c r="R139" s="34" t="s">
        <v>422</v>
      </c>
      <c r="S139" s="35">
        <v>45854</v>
      </c>
      <c r="T139" s="33"/>
      <c r="U139" s="33"/>
      <c r="V139" s="33"/>
      <c r="W139" s="34" t="s">
        <v>353</v>
      </c>
      <c r="X139" s="34" t="s">
        <v>340</v>
      </c>
      <c r="Y139" s="33"/>
      <c r="Z139" s="33"/>
      <c r="AA139" s="33"/>
      <c r="AB139" s="33"/>
    </row>
    <row r="140" spans="1:28" ht="16" thickBot="1">
      <c r="A140" s="34" t="s">
        <v>1023</v>
      </c>
      <c r="B140" s="34">
        <v>1</v>
      </c>
      <c r="C140" s="34" t="s">
        <v>445</v>
      </c>
      <c r="D140" s="34" t="s">
        <v>1023</v>
      </c>
      <c r="E140" s="33"/>
      <c r="F140" s="33"/>
      <c r="G140" s="33"/>
      <c r="H140" s="33"/>
      <c r="I140" s="33"/>
      <c r="J140" s="33"/>
      <c r="K140" s="34" t="s">
        <v>407</v>
      </c>
      <c r="L140" s="34" t="s">
        <v>408</v>
      </c>
      <c r="M140" s="34" t="s">
        <v>409</v>
      </c>
      <c r="N140" s="34" t="s">
        <v>13</v>
      </c>
      <c r="O140" s="34" t="s">
        <v>1024</v>
      </c>
      <c r="P140" s="35">
        <v>45854</v>
      </c>
      <c r="Q140" s="34" t="s">
        <v>410</v>
      </c>
      <c r="R140" s="34" t="s">
        <v>551</v>
      </c>
      <c r="S140" s="35">
        <v>45854</v>
      </c>
      <c r="T140" s="33"/>
      <c r="U140" s="33"/>
      <c r="V140" s="33"/>
      <c r="W140" s="34" t="s">
        <v>353</v>
      </c>
      <c r="X140" s="34" t="s">
        <v>340</v>
      </c>
      <c r="Y140" s="34">
        <v>241533</v>
      </c>
      <c r="Z140" s="33"/>
      <c r="AA140" s="33"/>
      <c r="AB140" s="33"/>
    </row>
    <row r="141" spans="1:28" ht="16" thickBot="1">
      <c r="A141" s="34" t="s">
        <v>676</v>
      </c>
      <c r="B141" s="34">
        <v>3</v>
      </c>
      <c r="C141" s="34" t="s">
        <v>608</v>
      </c>
      <c r="D141" s="34" t="s">
        <v>676</v>
      </c>
      <c r="E141" s="39" t="s">
        <v>415</v>
      </c>
      <c r="F141" s="40" t="s">
        <v>677</v>
      </c>
      <c r="G141" s="34" t="s">
        <v>417</v>
      </c>
      <c r="H141" s="33"/>
      <c r="I141" s="40">
        <v>7426059209</v>
      </c>
      <c r="J141" s="40" t="s">
        <v>678</v>
      </c>
      <c r="K141" s="36" t="s">
        <v>679</v>
      </c>
      <c r="L141" s="34" t="s">
        <v>408</v>
      </c>
      <c r="M141" s="34" t="s">
        <v>420</v>
      </c>
      <c r="N141" s="34" t="s">
        <v>1025</v>
      </c>
      <c r="O141" s="34" t="s">
        <v>370</v>
      </c>
      <c r="P141" s="35">
        <v>45860</v>
      </c>
      <c r="Q141" s="34" t="s">
        <v>432</v>
      </c>
      <c r="R141" s="34" t="s">
        <v>422</v>
      </c>
      <c r="S141" s="35">
        <v>45618</v>
      </c>
      <c r="T141" s="34" t="s">
        <v>680</v>
      </c>
      <c r="U141" s="34" t="s">
        <v>412</v>
      </c>
      <c r="V141" s="34" t="s">
        <v>681</v>
      </c>
      <c r="W141" s="34" t="s">
        <v>340</v>
      </c>
      <c r="X141" s="34" t="s">
        <v>340</v>
      </c>
      <c r="Y141" s="33"/>
      <c r="Z141" s="33"/>
      <c r="AA141" s="33"/>
      <c r="AB141" s="33"/>
    </row>
    <row r="142" spans="1:28" ht="16" thickBot="1">
      <c r="A142" s="34" t="s">
        <v>464</v>
      </c>
      <c r="B142" s="34">
        <v>21</v>
      </c>
      <c r="C142" s="34" t="s">
        <v>440</v>
      </c>
      <c r="D142" s="34" t="s">
        <v>1026</v>
      </c>
      <c r="E142" s="33"/>
      <c r="F142" s="33"/>
      <c r="G142" s="33"/>
      <c r="H142" s="33"/>
      <c r="I142" s="33"/>
      <c r="J142" s="33"/>
      <c r="K142" s="36" t="s">
        <v>1027</v>
      </c>
      <c r="L142" s="34" t="s">
        <v>408</v>
      </c>
      <c r="M142" s="34" t="s">
        <v>409</v>
      </c>
      <c r="N142" s="34" t="s">
        <v>19</v>
      </c>
      <c r="O142" s="34" t="s">
        <v>378</v>
      </c>
      <c r="P142" s="35">
        <v>45861</v>
      </c>
      <c r="Q142" s="34" t="s">
        <v>432</v>
      </c>
      <c r="R142" s="34" t="s">
        <v>422</v>
      </c>
      <c r="S142" s="35">
        <v>45861</v>
      </c>
      <c r="T142" s="33"/>
      <c r="U142" s="33"/>
      <c r="V142" s="33"/>
      <c r="W142" s="34" t="s">
        <v>353</v>
      </c>
      <c r="X142" s="34" t="s">
        <v>340</v>
      </c>
      <c r="Y142" s="33"/>
      <c r="Z142" s="33"/>
      <c r="AA142" s="33"/>
      <c r="AB142" s="33"/>
    </row>
    <row r="143" spans="1:28" ht="16" thickBot="1">
      <c r="A143" s="34" t="s">
        <v>1028</v>
      </c>
      <c r="B143" s="34">
        <v>1</v>
      </c>
      <c r="C143" s="34" t="s">
        <v>460</v>
      </c>
      <c r="D143" s="34" t="s">
        <v>1028</v>
      </c>
      <c r="E143" s="33"/>
      <c r="F143" s="33"/>
      <c r="G143" s="33"/>
      <c r="H143" s="33"/>
      <c r="I143" s="33"/>
      <c r="J143" s="33"/>
      <c r="K143" s="36" t="s">
        <v>1029</v>
      </c>
      <c r="L143" s="34" t="s">
        <v>408</v>
      </c>
      <c r="M143" s="34" t="s">
        <v>409</v>
      </c>
      <c r="N143" s="34" t="s">
        <v>13</v>
      </c>
      <c r="O143" s="34" t="s">
        <v>364</v>
      </c>
      <c r="P143" s="35">
        <v>45864</v>
      </c>
      <c r="Q143" s="34" t="s">
        <v>410</v>
      </c>
      <c r="R143" s="34" t="s">
        <v>551</v>
      </c>
      <c r="S143" s="35">
        <v>45864</v>
      </c>
      <c r="T143" s="33"/>
      <c r="U143" s="33"/>
      <c r="V143" s="33"/>
      <c r="W143" s="34" t="s">
        <v>353</v>
      </c>
      <c r="X143" s="34" t="s">
        <v>340</v>
      </c>
      <c r="Y143" s="33"/>
      <c r="Z143" s="33"/>
      <c r="AA143" s="33"/>
      <c r="AB143" s="33"/>
    </row>
    <row r="144" spans="1:28" ht="16" thickBot="1">
      <c r="A144" s="34" t="s">
        <v>1030</v>
      </c>
      <c r="B144" s="34">
        <v>1</v>
      </c>
      <c r="C144" s="34" t="s">
        <v>608</v>
      </c>
      <c r="D144" s="34" t="s">
        <v>1030</v>
      </c>
      <c r="E144" s="39" t="s">
        <v>415</v>
      </c>
      <c r="F144" s="34" t="s">
        <v>1031</v>
      </c>
      <c r="G144" s="34" t="s">
        <v>417</v>
      </c>
      <c r="H144" s="33"/>
      <c r="I144" s="34">
        <v>7533857797</v>
      </c>
      <c r="J144" s="34" t="s">
        <v>1032</v>
      </c>
      <c r="K144" s="34" t="s">
        <v>407</v>
      </c>
      <c r="L144" s="34" t="s">
        <v>408</v>
      </c>
      <c r="M144" s="34" t="s">
        <v>409</v>
      </c>
      <c r="N144" s="34" t="s">
        <v>13</v>
      </c>
      <c r="O144" s="34" t="s">
        <v>364</v>
      </c>
      <c r="P144" s="35">
        <v>45866</v>
      </c>
      <c r="Q144" s="34" t="s">
        <v>410</v>
      </c>
      <c r="R144" s="34" t="s">
        <v>551</v>
      </c>
      <c r="S144" s="35">
        <v>45864</v>
      </c>
      <c r="T144" s="34" t="s">
        <v>1033</v>
      </c>
      <c r="U144" s="34" t="s">
        <v>412</v>
      </c>
      <c r="V144" s="34" t="s">
        <v>1034</v>
      </c>
      <c r="W144" s="34" t="s">
        <v>353</v>
      </c>
      <c r="X144" s="34" t="s">
        <v>340</v>
      </c>
      <c r="Y144" s="34" t="s">
        <v>1035</v>
      </c>
      <c r="Z144" s="33"/>
      <c r="AA144" s="33"/>
      <c r="AB144" s="33"/>
    </row>
    <row r="145" spans="1:28" ht="16" thickBot="1">
      <c r="A145" s="34" t="s">
        <v>1036</v>
      </c>
      <c r="B145" s="34">
        <v>1</v>
      </c>
      <c r="C145" s="34" t="s">
        <v>455</v>
      </c>
      <c r="D145" s="34" t="s">
        <v>1036</v>
      </c>
      <c r="E145" s="33"/>
      <c r="F145" s="33"/>
      <c r="G145" s="33"/>
      <c r="H145" s="33"/>
      <c r="I145" s="33"/>
      <c r="J145" s="33"/>
      <c r="K145" s="34" t="s">
        <v>407</v>
      </c>
      <c r="L145" s="34" t="s">
        <v>408</v>
      </c>
      <c r="M145" s="34" t="s">
        <v>409</v>
      </c>
      <c r="N145" s="34" t="s">
        <v>13</v>
      </c>
      <c r="O145" s="34" t="s">
        <v>364</v>
      </c>
      <c r="P145" s="35">
        <v>45869</v>
      </c>
      <c r="Q145" s="34" t="s">
        <v>410</v>
      </c>
      <c r="R145" s="34" t="s">
        <v>551</v>
      </c>
      <c r="S145" s="35">
        <v>45869</v>
      </c>
      <c r="T145" s="33"/>
      <c r="U145" s="33"/>
      <c r="V145" s="33"/>
      <c r="W145" s="34" t="s">
        <v>353</v>
      </c>
      <c r="X145" s="34" t="s">
        <v>340</v>
      </c>
      <c r="Y145" s="33"/>
      <c r="Z145" s="33"/>
      <c r="AA145" s="33"/>
      <c r="AB145" s="33"/>
    </row>
    <row r="146" spans="1:28" ht="16" thickBot="1">
      <c r="A146" s="34" t="s">
        <v>1037</v>
      </c>
      <c r="B146" s="34">
        <v>1</v>
      </c>
      <c r="C146" s="34" t="s">
        <v>712</v>
      </c>
      <c r="D146" s="34" t="s">
        <v>1037</v>
      </c>
      <c r="E146" s="33"/>
      <c r="F146" s="33"/>
      <c r="G146" s="33"/>
      <c r="H146" s="33"/>
      <c r="I146" s="33"/>
      <c r="J146" s="33"/>
      <c r="K146" s="36" t="s">
        <v>1038</v>
      </c>
      <c r="L146" s="34" t="s">
        <v>408</v>
      </c>
      <c r="M146" s="34" t="s">
        <v>409</v>
      </c>
      <c r="N146" s="34" t="s">
        <v>13</v>
      </c>
      <c r="O146" s="34" t="s">
        <v>382</v>
      </c>
      <c r="P146" s="35">
        <v>45869</v>
      </c>
      <c r="Q146" s="34" t="s">
        <v>410</v>
      </c>
      <c r="R146" s="34" t="s">
        <v>422</v>
      </c>
      <c r="S146" s="35">
        <v>45869</v>
      </c>
      <c r="T146" s="33"/>
      <c r="U146" s="33"/>
      <c r="V146" s="33"/>
      <c r="W146" s="34" t="s">
        <v>353</v>
      </c>
      <c r="X146" s="34" t="s">
        <v>340</v>
      </c>
      <c r="Y146" s="33"/>
      <c r="Z146" s="33"/>
      <c r="AA146" s="33"/>
      <c r="AB146" s="33"/>
    </row>
    <row r="147" spans="1:28" ht="16" thickBot="1">
      <c r="A147" s="34" t="s">
        <v>1039</v>
      </c>
      <c r="B147" s="34">
        <v>2</v>
      </c>
      <c r="C147" s="34" t="s">
        <v>445</v>
      </c>
      <c r="D147" s="34" t="s">
        <v>1039</v>
      </c>
      <c r="E147" s="33"/>
      <c r="F147" s="33"/>
      <c r="G147" s="33"/>
      <c r="H147" s="33"/>
      <c r="I147" s="33"/>
      <c r="J147" s="33"/>
      <c r="K147" s="36" t="s">
        <v>1040</v>
      </c>
      <c r="L147" s="34" t="s">
        <v>408</v>
      </c>
      <c r="M147" s="34" t="s">
        <v>409</v>
      </c>
      <c r="N147" s="34" t="s">
        <v>13</v>
      </c>
      <c r="O147" s="34" t="s">
        <v>364</v>
      </c>
      <c r="P147" s="35">
        <v>45876</v>
      </c>
      <c r="Q147" s="34" t="s">
        <v>410</v>
      </c>
      <c r="R147" s="34" t="s">
        <v>551</v>
      </c>
      <c r="S147" s="35">
        <v>45875</v>
      </c>
      <c r="T147" s="34" t="s">
        <v>1041</v>
      </c>
      <c r="U147" s="34" t="s">
        <v>412</v>
      </c>
      <c r="V147" s="34" t="s">
        <v>861</v>
      </c>
      <c r="W147" s="34" t="s">
        <v>353</v>
      </c>
      <c r="X147" s="34" t="s">
        <v>340</v>
      </c>
      <c r="Y147" s="33"/>
      <c r="Z147" s="33"/>
      <c r="AA147" s="33"/>
      <c r="AB147" s="33"/>
    </row>
    <row r="148" spans="1:28" ht="16" thickBot="1">
      <c r="A148" s="34" t="s">
        <v>1042</v>
      </c>
      <c r="B148" s="34">
        <v>1</v>
      </c>
      <c r="C148" s="34" t="s">
        <v>426</v>
      </c>
      <c r="D148" s="34" t="s">
        <v>1042</v>
      </c>
      <c r="E148" s="34" t="s">
        <v>415</v>
      </c>
      <c r="F148" s="34" t="s">
        <v>1043</v>
      </c>
      <c r="G148" s="34" t="s">
        <v>428</v>
      </c>
      <c r="H148" s="33"/>
      <c r="I148" s="34">
        <v>7403597611</v>
      </c>
      <c r="J148" s="34" t="s">
        <v>260</v>
      </c>
      <c r="K148" s="36" t="s">
        <v>1044</v>
      </c>
      <c r="L148" s="34" t="s">
        <v>408</v>
      </c>
      <c r="M148" s="34" t="s">
        <v>409</v>
      </c>
      <c r="N148" s="34" t="s">
        <v>13</v>
      </c>
      <c r="O148" s="34" t="s">
        <v>517</v>
      </c>
      <c r="P148" s="35">
        <v>45883</v>
      </c>
      <c r="Q148" s="34" t="s">
        <v>410</v>
      </c>
      <c r="R148" s="34" t="s">
        <v>422</v>
      </c>
      <c r="S148" s="35">
        <v>45735</v>
      </c>
      <c r="T148" s="34" t="s">
        <v>1045</v>
      </c>
      <c r="U148" s="34" t="s">
        <v>412</v>
      </c>
      <c r="V148" s="34" t="s">
        <v>861</v>
      </c>
      <c r="W148" s="34" t="s">
        <v>353</v>
      </c>
      <c r="X148" s="34" t="s">
        <v>340</v>
      </c>
      <c r="Y148" s="33"/>
      <c r="Z148" s="33"/>
      <c r="AA148" s="33"/>
      <c r="AB148" s="33"/>
    </row>
    <row r="149" spans="1:28" ht="16" thickBot="1">
      <c r="A149" s="34" t="s">
        <v>1046</v>
      </c>
      <c r="B149" s="34">
        <v>1</v>
      </c>
      <c r="C149" s="34" t="s">
        <v>455</v>
      </c>
      <c r="D149" s="34" t="s">
        <v>1046</v>
      </c>
      <c r="E149" s="34" t="s">
        <v>415</v>
      </c>
      <c r="F149" s="34" t="s">
        <v>1047</v>
      </c>
      <c r="G149" s="33"/>
      <c r="H149" s="33"/>
      <c r="I149" s="34">
        <v>7940136974</v>
      </c>
      <c r="J149" s="34" t="s">
        <v>1048</v>
      </c>
      <c r="K149" s="36" t="s">
        <v>1049</v>
      </c>
      <c r="L149" s="34" t="s">
        <v>408</v>
      </c>
      <c r="M149" s="34" t="s">
        <v>409</v>
      </c>
      <c r="N149" s="34" t="s">
        <v>13</v>
      </c>
      <c r="O149" s="34" t="s">
        <v>364</v>
      </c>
      <c r="P149" s="35">
        <v>45884</v>
      </c>
      <c r="Q149" s="34" t="s">
        <v>410</v>
      </c>
      <c r="R149" s="34" t="s">
        <v>551</v>
      </c>
      <c r="S149" s="35">
        <v>45882</v>
      </c>
      <c r="T149" s="34" t="s">
        <v>1050</v>
      </c>
      <c r="U149" s="34" t="s">
        <v>412</v>
      </c>
      <c r="V149" s="34" t="s">
        <v>757</v>
      </c>
      <c r="W149" s="34" t="s">
        <v>353</v>
      </c>
      <c r="X149" s="34" t="s">
        <v>340</v>
      </c>
      <c r="Y149" s="33"/>
      <c r="Z149" s="33"/>
      <c r="AA149" s="33"/>
      <c r="AB149" s="33"/>
    </row>
    <row r="150" spans="1:28" ht="16" thickBot="1">
      <c r="A150" s="34" t="s">
        <v>1051</v>
      </c>
      <c r="B150" s="34">
        <v>1</v>
      </c>
      <c r="C150" s="34" t="s">
        <v>460</v>
      </c>
      <c r="D150" s="34" t="s">
        <v>1051</v>
      </c>
      <c r="E150" s="33"/>
      <c r="F150" s="33"/>
      <c r="G150" s="33"/>
      <c r="H150" s="33"/>
      <c r="I150" s="33"/>
      <c r="J150" s="33"/>
      <c r="K150" s="36" t="s">
        <v>1052</v>
      </c>
      <c r="L150" s="34" t="s">
        <v>408</v>
      </c>
      <c r="M150" s="34" t="s">
        <v>420</v>
      </c>
      <c r="N150" s="34" t="s">
        <v>1025</v>
      </c>
      <c r="O150" s="34" t="s">
        <v>370</v>
      </c>
      <c r="P150" s="35">
        <v>45885</v>
      </c>
      <c r="Q150" s="34" t="s">
        <v>410</v>
      </c>
      <c r="R150" s="34" t="s">
        <v>551</v>
      </c>
      <c r="S150" s="35">
        <v>45885</v>
      </c>
      <c r="T150" s="33"/>
      <c r="U150" s="33"/>
      <c r="V150" s="33"/>
      <c r="W150" s="34" t="s">
        <v>340</v>
      </c>
      <c r="X150" s="34" t="s">
        <v>340</v>
      </c>
      <c r="Y150" s="34">
        <v>241567</v>
      </c>
      <c r="Z150" s="33"/>
      <c r="AA150" s="33"/>
      <c r="AB150" s="33"/>
    </row>
    <row r="151" spans="1:28" ht="16" thickBot="1">
      <c r="A151" s="34" t="s">
        <v>1017</v>
      </c>
      <c r="B151" s="34">
        <v>2</v>
      </c>
      <c r="C151" s="34" t="s">
        <v>534</v>
      </c>
      <c r="D151" s="34" t="s">
        <v>1017</v>
      </c>
      <c r="E151" s="33"/>
      <c r="F151" s="33"/>
      <c r="G151" s="33"/>
      <c r="H151" s="33"/>
      <c r="I151" s="33"/>
      <c r="J151" s="33"/>
      <c r="K151" s="36" t="s">
        <v>1018</v>
      </c>
      <c r="L151" s="34" t="s">
        <v>408</v>
      </c>
      <c r="M151" s="34" t="s">
        <v>420</v>
      </c>
      <c r="N151" s="34" t="s">
        <v>1025</v>
      </c>
      <c r="O151" s="34" t="s">
        <v>559</v>
      </c>
      <c r="P151" s="35">
        <v>45885</v>
      </c>
      <c r="Q151" s="34" t="s">
        <v>432</v>
      </c>
      <c r="R151" s="34" t="s">
        <v>551</v>
      </c>
      <c r="S151" s="35">
        <v>45839</v>
      </c>
      <c r="T151" s="34" t="s">
        <v>1053</v>
      </c>
      <c r="U151" s="34" t="s">
        <v>412</v>
      </c>
      <c r="V151" s="34" t="s">
        <v>1054</v>
      </c>
      <c r="W151" s="34" t="s">
        <v>340</v>
      </c>
      <c r="X151" s="34" t="s">
        <v>340</v>
      </c>
      <c r="Y151" s="33"/>
      <c r="Z151" s="33"/>
      <c r="AA151" s="33"/>
      <c r="AB151" s="33"/>
    </row>
    <row r="152" spans="1:28" ht="16" thickBot="1">
      <c r="A152" s="34" t="s">
        <v>1055</v>
      </c>
      <c r="B152" s="34">
        <v>1</v>
      </c>
      <c r="C152" s="34" t="s">
        <v>455</v>
      </c>
      <c r="D152" s="34" t="s">
        <v>1055</v>
      </c>
      <c r="E152" s="33"/>
      <c r="F152" s="33"/>
      <c r="G152" s="33"/>
      <c r="H152" s="33"/>
      <c r="I152" s="33"/>
      <c r="J152" s="33"/>
      <c r="K152" s="34" t="s">
        <v>407</v>
      </c>
      <c r="L152" s="34" t="s">
        <v>408</v>
      </c>
      <c r="M152" s="34" t="s">
        <v>420</v>
      </c>
      <c r="N152" s="34" t="s">
        <v>937</v>
      </c>
      <c r="O152" s="34" t="s">
        <v>438</v>
      </c>
      <c r="P152" s="35">
        <v>45888</v>
      </c>
      <c r="Q152" s="34" t="s">
        <v>410</v>
      </c>
      <c r="R152" s="34" t="s">
        <v>551</v>
      </c>
      <c r="S152" s="35">
        <v>45888</v>
      </c>
      <c r="T152" s="33"/>
      <c r="U152" s="33"/>
      <c r="V152" s="33"/>
      <c r="W152" s="34" t="s">
        <v>423</v>
      </c>
      <c r="X152" s="34" t="s">
        <v>424</v>
      </c>
      <c r="Y152" s="34">
        <v>241607</v>
      </c>
      <c r="Z152" s="33"/>
      <c r="AA152" s="33"/>
      <c r="AB152" s="33"/>
    </row>
    <row r="153" spans="1:28" ht="16" thickBot="1">
      <c r="A153" s="34" t="s">
        <v>1056</v>
      </c>
      <c r="B153" s="34">
        <v>1</v>
      </c>
      <c r="C153" s="34" t="s">
        <v>507</v>
      </c>
      <c r="D153" s="34" t="s">
        <v>1056</v>
      </c>
      <c r="E153" s="33"/>
      <c r="F153" s="33"/>
      <c r="G153" s="33"/>
      <c r="H153" s="33"/>
      <c r="I153" s="33"/>
      <c r="J153" s="33"/>
      <c r="K153" s="36" t="s">
        <v>1057</v>
      </c>
      <c r="L153" s="34" t="s">
        <v>408</v>
      </c>
      <c r="M153" s="34" t="s">
        <v>409</v>
      </c>
      <c r="N153" s="34" t="s">
        <v>13</v>
      </c>
      <c r="O153" s="34" t="s">
        <v>1058</v>
      </c>
      <c r="P153" s="35">
        <v>45892</v>
      </c>
      <c r="Q153" s="34" t="s">
        <v>410</v>
      </c>
      <c r="R153" s="34" t="s">
        <v>652</v>
      </c>
      <c r="S153" s="35">
        <v>45880</v>
      </c>
      <c r="T153" s="34" t="s">
        <v>1059</v>
      </c>
      <c r="U153" s="34" t="s">
        <v>412</v>
      </c>
      <c r="V153" s="34" t="s">
        <v>762</v>
      </c>
      <c r="W153" s="34" t="s">
        <v>353</v>
      </c>
      <c r="X153" s="34" t="s">
        <v>340</v>
      </c>
      <c r="Y153" s="33"/>
      <c r="Z153" s="33"/>
      <c r="AA153" s="33"/>
      <c r="AB153" s="33"/>
    </row>
    <row r="154" spans="1:28" ht="16" thickBot="1">
      <c r="A154" s="34" t="s">
        <v>1060</v>
      </c>
      <c r="B154" s="34">
        <v>1</v>
      </c>
      <c r="C154" s="34" t="s">
        <v>500</v>
      </c>
      <c r="D154" s="34" t="s">
        <v>1060</v>
      </c>
      <c r="E154" s="33"/>
      <c r="F154" s="33"/>
      <c r="G154" s="33"/>
      <c r="H154" s="33"/>
      <c r="I154" s="33"/>
      <c r="J154" s="33"/>
      <c r="K154" s="36" t="s">
        <v>1061</v>
      </c>
      <c r="L154" s="34" t="s">
        <v>408</v>
      </c>
      <c r="M154" s="34" t="s">
        <v>409</v>
      </c>
      <c r="N154" s="34" t="s">
        <v>13</v>
      </c>
      <c r="O154" s="34" t="s">
        <v>1058</v>
      </c>
      <c r="P154" s="35">
        <v>45892</v>
      </c>
      <c r="Q154" s="34" t="s">
        <v>410</v>
      </c>
      <c r="R154" s="34" t="s">
        <v>551</v>
      </c>
      <c r="S154" s="35">
        <v>45870</v>
      </c>
      <c r="T154" s="34" t="s">
        <v>1062</v>
      </c>
      <c r="U154" s="34" t="s">
        <v>412</v>
      </c>
      <c r="V154" s="34" t="s">
        <v>757</v>
      </c>
      <c r="W154" s="34" t="s">
        <v>353</v>
      </c>
      <c r="X154" s="34" t="s">
        <v>340</v>
      </c>
      <c r="Y154" s="34">
        <v>241571</v>
      </c>
      <c r="Z154" s="33"/>
      <c r="AA154" s="33"/>
      <c r="AB154" s="33"/>
    </row>
    <row r="155" spans="1:28" ht="16" thickBot="1">
      <c r="A155" s="34" t="s">
        <v>154</v>
      </c>
      <c r="B155" s="34">
        <v>1</v>
      </c>
      <c r="C155" s="34" t="s">
        <v>440</v>
      </c>
      <c r="D155" s="34" t="s">
        <v>154</v>
      </c>
      <c r="E155" s="33"/>
      <c r="F155" s="33"/>
      <c r="G155" s="33"/>
      <c r="H155" s="33"/>
      <c r="I155" s="33"/>
      <c r="J155" s="33"/>
      <c r="K155" s="34" t="s">
        <v>407</v>
      </c>
      <c r="L155" s="34" t="s">
        <v>408</v>
      </c>
      <c r="M155" s="34" t="s">
        <v>409</v>
      </c>
      <c r="N155" s="34" t="s">
        <v>13</v>
      </c>
      <c r="O155" s="34" t="s">
        <v>367</v>
      </c>
      <c r="P155" s="35">
        <v>45895</v>
      </c>
      <c r="Q155" s="34" t="s">
        <v>410</v>
      </c>
      <c r="R155" s="34" t="s">
        <v>652</v>
      </c>
      <c r="S155" s="35">
        <v>45891</v>
      </c>
      <c r="T155" s="34" t="s">
        <v>1063</v>
      </c>
      <c r="U155" s="34" t="s">
        <v>412</v>
      </c>
      <c r="V155" s="34" t="s">
        <v>1064</v>
      </c>
      <c r="W155" s="34" t="s">
        <v>353</v>
      </c>
      <c r="X155" s="34" t="s">
        <v>340</v>
      </c>
      <c r="Y155" s="33"/>
      <c r="Z155" s="33"/>
      <c r="AA155" s="33"/>
      <c r="AB155" s="33"/>
    </row>
    <row r="156" spans="1:28" ht="16" thickBot="1">
      <c r="A156" s="34" t="s">
        <v>834</v>
      </c>
      <c r="B156" s="34">
        <v>3</v>
      </c>
      <c r="C156" s="34" t="s">
        <v>670</v>
      </c>
      <c r="D156" s="34" t="s">
        <v>834</v>
      </c>
      <c r="E156" s="33"/>
      <c r="F156" s="33"/>
      <c r="G156" s="33"/>
      <c r="H156" s="33"/>
      <c r="I156" s="33"/>
      <c r="J156" s="33"/>
      <c r="K156" s="34" t="s">
        <v>407</v>
      </c>
      <c r="L156" s="34" t="s">
        <v>408</v>
      </c>
      <c r="M156" s="34" t="s">
        <v>420</v>
      </c>
      <c r="N156" s="34" t="s">
        <v>1065</v>
      </c>
      <c r="O156" s="34" t="s">
        <v>640</v>
      </c>
      <c r="P156" s="35">
        <v>45896</v>
      </c>
      <c r="Q156" s="34" t="s">
        <v>432</v>
      </c>
      <c r="R156" s="34" t="s">
        <v>551</v>
      </c>
      <c r="S156" s="35">
        <v>45896</v>
      </c>
      <c r="T156" s="33"/>
      <c r="U156" s="33"/>
      <c r="V156" s="33"/>
      <c r="W156" s="34" t="s">
        <v>340</v>
      </c>
      <c r="X156" s="34" t="s">
        <v>340</v>
      </c>
      <c r="Y156" s="33"/>
      <c r="Z156" s="33"/>
      <c r="AA156" s="33"/>
      <c r="AB156" s="33"/>
    </row>
    <row r="157" spans="1:28" ht="16" thickBot="1">
      <c r="A157" s="34" t="s">
        <v>1066</v>
      </c>
      <c r="B157" s="34">
        <v>1</v>
      </c>
      <c r="C157" s="34" t="s">
        <v>500</v>
      </c>
      <c r="D157" s="34" t="s">
        <v>1066</v>
      </c>
      <c r="E157" s="34" t="s">
        <v>627</v>
      </c>
      <c r="F157" s="34" t="s">
        <v>1067</v>
      </c>
      <c r="G157" s="33"/>
      <c r="H157" s="33"/>
      <c r="I157" s="34">
        <v>7857191096</v>
      </c>
      <c r="J157" s="34" t="s">
        <v>1068</v>
      </c>
      <c r="K157" s="36" t="s">
        <v>1069</v>
      </c>
      <c r="L157" s="34" t="s">
        <v>408</v>
      </c>
      <c r="M157" s="34" t="s">
        <v>409</v>
      </c>
      <c r="N157" s="34" t="s">
        <v>13</v>
      </c>
      <c r="O157" s="34" t="s">
        <v>517</v>
      </c>
      <c r="P157" s="35">
        <v>45896</v>
      </c>
      <c r="Q157" s="34" t="s">
        <v>410</v>
      </c>
      <c r="R157" s="34" t="s">
        <v>551</v>
      </c>
      <c r="S157" s="35">
        <v>45820</v>
      </c>
      <c r="T157" s="34" t="s">
        <v>1070</v>
      </c>
      <c r="U157" s="34" t="s">
        <v>412</v>
      </c>
      <c r="V157" s="34" t="s">
        <v>632</v>
      </c>
      <c r="W157" s="34" t="s">
        <v>353</v>
      </c>
      <c r="X157" s="34" t="s">
        <v>340</v>
      </c>
      <c r="Y157" s="33"/>
      <c r="Z157" s="33"/>
      <c r="AA157" s="33"/>
      <c r="AB157" s="33"/>
    </row>
    <row r="158" spans="1:28" ht="16" thickBot="1">
      <c r="A158" s="34" t="s">
        <v>1071</v>
      </c>
      <c r="B158" s="34">
        <v>1</v>
      </c>
      <c r="C158" s="34" t="s">
        <v>800</v>
      </c>
      <c r="D158" s="34" t="s">
        <v>1071</v>
      </c>
      <c r="E158" s="33"/>
      <c r="F158" s="33"/>
      <c r="G158" s="33"/>
      <c r="H158" s="33"/>
      <c r="I158" s="33"/>
      <c r="J158" s="33"/>
      <c r="K158" s="36" t="s">
        <v>1072</v>
      </c>
      <c r="L158" s="34" t="s">
        <v>408</v>
      </c>
      <c r="M158" s="34" t="s">
        <v>409</v>
      </c>
      <c r="N158" s="34" t="s">
        <v>13</v>
      </c>
      <c r="O158" s="34" t="s">
        <v>364</v>
      </c>
      <c r="P158" s="35">
        <v>45896</v>
      </c>
      <c r="Q158" s="34" t="s">
        <v>410</v>
      </c>
      <c r="R158" s="34" t="s">
        <v>551</v>
      </c>
      <c r="S158" s="35">
        <v>45896</v>
      </c>
      <c r="T158" s="33"/>
      <c r="U158" s="33"/>
      <c r="V158" s="33"/>
      <c r="W158" s="34" t="s">
        <v>353</v>
      </c>
      <c r="X158" s="34" t="s">
        <v>340</v>
      </c>
      <c r="Y158" s="34">
        <v>241591</v>
      </c>
      <c r="Z158" s="33"/>
      <c r="AA158" s="33"/>
      <c r="AB158" s="33"/>
    </row>
    <row r="159" spans="1:28" ht="16" thickBot="1">
      <c r="A159" s="34" t="s">
        <v>1073</v>
      </c>
      <c r="B159" s="34">
        <v>1</v>
      </c>
      <c r="C159" s="34" t="s">
        <v>455</v>
      </c>
      <c r="D159" s="34" t="s">
        <v>1073</v>
      </c>
      <c r="E159" s="34" t="s">
        <v>415</v>
      </c>
      <c r="F159" s="34" t="s">
        <v>1074</v>
      </c>
      <c r="G159" s="33"/>
      <c r="H159" s="33"/>
      <c r="I159" s="34">
        <v>7427421603</v>
      </c>
      <c r="J159" s="34" t="s">
        <v>1075</v>
      </c>
      <c r="K159" s="36" t="s">
        <v>1076</v>
      </c>
      <c r="L159" s="34" t="s">
        <v>408</v>
      </c>
      <c r="M159" s="34" t="s">
        <v>409</v>
      </c>
      <c r="N159" s="34" t="s">
        <v>13</v>
      </c>
      <c r="O159" s="34" t="s">
        <v>364</v>
      </c>
      <c r="P159" s="35">
        <v>45897</v>
      </c>
      <c r="Q159" s="34" t="s">
        <v>410</v>
      </c>
      <c r="R159" s="34" t="s">
        <v>551</v>
      </c>
      <c r="S159" s="35">
        <v>45894</v>
      </c>
      <c r="T159" s="34" t="s">
        <v>1077</v>
      </c>
      <c r="U159" s="34" t="s">
        <v>412</v>
      </c>
      <c r="V159" s="34" t="s">
        <v>757</v>
      </c>
      <c r="W159" s="34" t="s">
        <v>353</v>
      </c>
      <c r="X159" s="34" t="s">
        <v>340</v>
      </c>
      <c r="Y159" s="33"/>
      <c r="Z159" s="33"/>
      <c r="AA159" s="33"/>
      <c r="AB159" s="33"/>
    </row>
    <row r="160" spans="1:28" ht="16" thickBot="1">
      <c r="A160" s="34" t="s">
        <v>1078</v>
      </c>
      <c r="B160" s="34">
        <v>1</v>
      </c>
      <c r="C160" s="34" t="s">
        <v>1079</v>
      </c>
      <c r="D160" s="34" t="s">
        <v>1078</v>
      </c>
      <c r="E160" s="34" t="s">
        <v>415</v>
      </c>
      <c r="F160" s="34" t="s">
        <v>1080</v>
      </c>
      <c r="G160" s="34" t="s">
        <v>428</v>
      </c>
      <c r="H160" s="33"/>
      <c r="I160" s="34">
        <v>7761120087</v>
      </c>
      <c r="J160" s="34" t="s">
        <v>1081</v>
      </c>
      <c r="K160" s="36" t="s">
        <v>1082</v>
      </c>
      <c r="L160" s="34" t="s">
        <v>408</v>
      </c>
      <c r="M160" s="34" t="s">
        <v>420</v>
      </c>
      <c r="N160" s="34" t="s">
        <v>431</v>
      </c>
      <c r="O160" s="34" t="s">
        <v>382</v>
      </c>
      <c r="P160" s="35">
        <v>45898</v>
      </c>
      <c r="Q160" s="34" t="s">
        <v>432</v>
      </c>
      <c r="R160" s="34" t="s">
        <v>422</v>
      </c>
      <c r="S160" s="35">
        <v>45889</v>
      </c>
      <c r="T160" s="34" t="s">
        <v>1083</v>
      </c>
      <c r="U160" s="34" t="s">
        <v>412</v>
      </c>
      <c r="V160" s="34" t="s">
        <v>652</v>
      </c>
      <c r="W160" s="34" t="s">
        <v>423</v>
      </c>
      <c r="X160" s="82" t="s">
        <v>424</v>
      </c>
      <c r="Y160" s="83"/>
      <c r="Z160" s="33"/>
      <c r="AA160" s="33"/>
      <c r="AB160" s="33"/>
    </row>
    <row r="161" spans="1:28" ht="16" thickBot="1">
      <c r="A161" s="34" t="s">
        <v>1028</v>
      </c>
      <c r="B161" s="34">
        <v>2</v>
      </c>
      <c r="C161" s="34" t="s">
        <v>460</v>
      </c>
      <c r="D161" s="34" t="s">
        <v>1028</v>
      </c>
      <c r="E161" s="33"/>
      <c r="F161" s="33"/>
      <c r="G161" s="33"/>
      <c r="H161" s="33"/>
      <c r="I161" s="33"/>
      <c r="J161" s="33"/>
      <c r="K161" s="36" t="s">
        <v>1029</v>
      </c>
      <c r="L161" s="34" t="s">
        <v>408</v>
      </c>
      <c r="M161" s="34" t="s">
        <v>420</v>
      </c>
      <c r="N161" s="34" t="s">
        <v>431</v>
      </c>
      <c r="O161" s="34" t="s">
        <v>559</v>
      </c>
      <c r="P161" s="35">
        <v>45898</v>
      </c>
      <c r="Q161" s="34" t="s">
        <v>432</v>
      </c>
      <c r="R161" s="34" t="s">
        <v>551</v>
      </c>
      <c r="S161" s="35">
        <v>45898</v>
      </c>
      <c r="T161" s="33"/>
      <c r="U161" s="33"/>
      <c r="V161" s="33"/>
      <c r="W161" s="34" t="s">
        <v>423</v>
      </c>
      <c r="X161" s="82" t="s">
        <v>424</v>
      </c>
      <c r="Y161" s="83"/>
      <c r="Z161" s="33"/>
      <c r="AA161" s="33"/>
      <c r="AB161" s="33"/>
    </row>
    <row r="162" spans="1:28" ht="16" thickBot="1">
      <c r="A162" s="34" t="s">
        <v>1084</v>
      </c>
      <c r="B162" s="34">
        <v>1</v>
      </c>
      <c r="C162" s="34" t="s">
        <v>450</v>
      </c>
      <c r="D162" s="34" t="s">
        <v>1084</v>
      </c>
      <c r="E162" s="33"/>
      <c r="F162" s="33"/>
      <c r="G162" s="33"/>
      <c r="H162" s="33"/>
      <c r="I162" s="33"/>
      <c r="J162" s="33"/>
      <c r="K162" s="36" t="s">
        <v>1085</v>
      </c>
      <c r="L162" s="34" t="s">
        <v>408</v>
      </c>
      <c r="M162" s="34" t="s">
        <v>420</v>
      </c>
      <c r="N162" s="34" t="s">
        <v>431</v>
      </c>
      <c r="O162" s="34" t="s">
        <v>369</v>
      </c>
      <c r="P162" s="35">
        <v>45905</v>
      </c>
      <c r="Q162" s="34" t="s">
        <v>410</v>
      </c>
      <c r="R162" s="34" t="s">
        <v>422</v>
      </c>
      <c r="S162" s="35">
        <v>45905</v>
      </c>
      <c r="T162" s="33"/>
      <c r="U162" s="33"/>
      <c r="V162" s="33"/>
      <c r="W162" s="34" t="s">
        <v>423</v>
      </c>
      <c r="X162" s="82" t="s">
        <v>424</v>
      </c>
      <c r="Y162" s="83"/>
      <c r="Z162" s="33"/>
      <c r="AA162" s="33"/>
      <c r="AB162" s="33"/>
    </row>
    <row r="163" spans="1:28" ht="16" thickBot="1">
      <c r="A163" s="34" t="s">
        <v>122</v>
      </c>
      <c r="B163" s="34">
        <v>1</v>
      </c>
      <c r="C163" s="34" t="s">
        <v>588</v>
      </c>
      <c r="D163" s="34" t="s">
        <v>122</v>
      </c>
      <c r="E163" s="33"/>
      <c r="F163" s="33"/>
      <c r="G163" s="33"/>
      <c r="H163" s="33"/>
      <c r="I163" s="33"/>
      <c r="J163" s="33"/>
      <c r="K163" s="36" t="s">
        <v>1086</v>
      </c>
      <c r="L163" s="34" t="s">
        <v>408</v>
      </c>
      <c r="M163" s="34" t="s">
        <v>409</v>
      </c>
      <c r="N163" s="34" t="s">
        <v>13</v>
      </c>
      <c r="O163" s="34" t="s">
        <v>774</v>
      </c>
      <c r="P163" s="35">
        <v>45908</v>
      </c>
      <c r="Q163" s="34" t="s">
        <v>410</v>
      </c>
      <c r="R163" s="34" t="s">
        <v>551</v>
      </c>
      <c r="S163" s="35">
        <v>45908</v>
      </c>
      <c r="T163" s="33"/>
      <c r="U163" s="33"/>
      <c r="V163" s="33"/>
      <c r="W163" s="34" t="s">
        <v>353</v>
      </c>
      <c r="X163" s="34" t="s">
        <v>340</v>
      </c>
      <c r="Y163" s="34" t="s">
        <v>1087</v>
      </c>
      <c r="Z163" s="33"/>
      <c r="AA163" s="33"/>
      <c r="AB163" s="33"/>
    </row>
    <row r="164" spans="1:28" ht="16" thickBot="1">
      <c r="A164" s="34" t="s">
        <v>1088</v>
      </c>
      <c r="B164" s="34">
        <v>1</v>
      </c>
      <c r="C164" s="34" t="s">
        <v>608</v>
      </c>
      <c r="D164" s="34" t="s">
        <v>1088</v>
      </c>
      <c r="E164" s="39" t="s">
        <v>415</v>
      </c>
      <c r="F164" s="34" t="s">
        <v>1089</v>
      </c>
      <c r="G164" s="34" t="s">
        <v>417</v>
      </c>
      <c r="H164" s="33"/>
      <c r="I164" s="34">
        <v>7887640623</v>
      </c>
      <c r="J164" s="34" t="s">
        <v>1090</v>
      </c>
      <c r="K164" s="36" t="s">
        <v>1091</v>
      </c>
      <c r="L164" s="34" t="s">
        <v>408</v>
      </c>
      <c r="M164" s="34" t="s">
        <v>409</v>
      </c>
      <c r="N164" s="34" t="s">
        <v>13</v>
      </c>
      <c r="O164" s="34" t="s">
        <v>352</v>
      </c>
      <c r="P164" s="35">
        <v>45909</v>
      </c>
      <c r="Q164" s="34" t="s">
        <v>410</v>
      </c>
      <c r="R164" s="34" t="s">
        <v>551</v>
      </c>
      <c r="S164" s="35">
        <v>45901</v>
      </c>
      <c r="T164" s="34" t="s">
        <v>1092</v>
      </c>
      <c r="U164" s="34" t="s">
        <v>412</v>
      </c>
      <c r="V164" s="34" t="s">
        <v>1054</v>
      </c>
      <c r="W164" s="34" t="s">
        <v>353</v>
      </c>
      <c r="X164" s="34" t="s">
        <v>340</v>
      </c>
      <c r="Y164" s="33"/>
      <c r="Z164" s="33"/>
      <c r="AA164" s="33"/>
      <c r="AB164" s="33"/>
    </row>
    <row r="165" spans="1:28" ht="16" thickBot="1">
      <c r="A165" s="34" t="s">
        <v>1093</v>
      </c>
      <c r="B165" s="34">
        <v>1</v>
      </c>
      <c r="C165" s="34" t="s">
        <v>1079</v>
      </c>
      <c r="D165" s="34" t="s">
        <v>1093</v>
      </c>
      <c r="E165" s="33"/>
      <c r="F165" s="33"/>
      <c r="G165" s="33"/>
      <c r="H165" s="33"/>
      <c r="I165" s="33"/>
      <c r="J165" s="33"/>
      <c r="K165" s="36" t="s">
        <v>1094</v>
      </c>
      <c r="L165" s="34" t="s">
        <v>408</v>
      </c>
      <c r="M165" s="34" t="s">
        <v>420</v>
      </c>
      <c r="N165" s="34" t="s">
        <v>431</v>
      </c>
      <c r="O165" s="34" t="s">
        <v>559</v>
      </c>
      <c r="P165" s="35">
        <v>45909</v>
      </c>
      <c r="Q165" s="34" t="s">
        <v>410</v>
      </c>
      <c r="R165" s="34" t="s">
        <v>422</v>
      </c>
      <c r="S165" s="35">
        <v>45909</v>
      </c>
      <c r="T165" s="33"/>
      <c r="U165" s="33"/>
      <c r="V165" s="33"/>
      <c r="W165" s="34" t="s">
        <v>423</v>
      </c>
      <c r="X165" s="82" t="s">
        <v>424</v>
      </c>
      <c r="Y165" s="83"/>
      <c r="Z165" s="33"/>
      <c r="AA165" s="33"/>
      <c r="AB165" s="33"/>
    </row>
    <row r="166" spans="1:28" ht="16" thickBot="1">
      <c r="A166" s="34" t="s">
        <v>1095</v>
      </c>
      <c r="B166" s="34">
        <v>1</v>
      </c>
      <c r="C166" s="34" t="s">
        <v>455</v>
      </c>
      <c r="D166" s="34" t="s">
        <v>1095</v>
      </c>
      <c r="E166" s="33"/>
      <c r="F166" s="33"/>
      <c r="G166" s="33"/>
      <c r="H166" s="33"/>
      <c r="I166" s="33"/>
      <c r="J166" s="33"/>
      <c r="K166" s="36" t="s">
        <v>1096</v>
      </c>
      <c r="L166" s="34" t="s">
        <v>408</v>
      </c>
      <c r="M166" s="34" t="s">
        <v>420</v>
      </c>
      <c r="N166" s="34" t="s">
        <v>937</v>
      </c>
      <c r="O166" s="34" t="s">
        <v>475</v>
      </c>
      <c r="P166" s="35">
        <v>45912</v>
      </c>
      <c r="Q166" s="34" t="s">
        <v>410</v>
      </c>
      <c r="R166" s="34" t="s">
        <v>422</v>
      </c>
      <c r="S166" s="35">
        <v>45912</v>
      </c>
      <c r="T166" s="33"/>
      <c r="U166" s="33"/>
      <c r="V166" s="33"/>
      <c r="W166" s="34" t="s">
        <v>423</v>
      </c>
      <c r="X166" s="82" t="s">
        <v>424</v>
      </c>
      <c r="Y166" s="83"/>
      <c r="Z166" s="33"/>
      <c r="AA166" s="33"/>
      <c r="AB166" s="33"/>
    </row>
    <row r="167" spans="1:28" ht="16" thickBot="1">
      <c r="A167" s="34" t="s">
        <v>123</v>
      </c>
      <c r="B167" s="34">
        <v>1</v>
      </c>
      <c r="C167" s="34" t="s">
        <v>460</v>
      </c>
      <c r="D167" s="34" t="s">
        <v>123</v>
      </c>
      <c r="E167" s="33"/>
      <c r="F167" s="33"/>
      <c r="G167" s="33"/>
      <c r="H167" s="33"/>
      <c r="I167" s="33"/>
      <c r="J167" s="33"/>
      <c r="K167" s="36" t="s">
        <v>1097</v>
      </c>
      <c r="L167" s="34" t="s">
        <v>408</v>
      </c>
      <c r="M167" s="34" t="s">
        <v>409</v>
      </c>
      <c r="N167" s="34" t="s">
        <v>13</v>
      </c>
      <c r="O167" s="34" t="s">
        <v>364</v>
      </c>
      <c r="P167" s="35">
        <v>45912</v>
      </c>
      <c r="Q167" s="34" t="s">
        <v>410</v>
      </c>
      <c r="R167" s="34" t="s">
        <v>652</v>
      </c>
      <c r="S167" s="35">
        <v>45910</v>
      </c>
      <c r="T167" s="34" t="s">
        <v>1098</v>
      </c>
      <c r="U167" s="34" t="s">
        <v>412</v>
      </c>
      <c r="V167" s="34" t="s">
        <v>757</v>
      </c>
      <c r="W167" s="34" t="s">
        <v>353</v>
      </c>
      <c r="X167" s="34" t="s">
        <v>340</v>
      </c>
      <c r="Y167" s="33"/>
      <c r="Z167" s="33"/>
      <c r="AA167" s="33"/>
      <c r="AB167" s="33"/>
    </row>
    <row r="168" spans="1:28" ht="16" thickBot="1">
      <c r="A168" s="34" t="s">
        <v>794</v>
      </c>
      <c r="B168" s="34">
        <v>3</v>
      </c>
      <c r="C168" s="34" t="s">
        <v>445</v>
      </c>
      <c r="D168" s="34" t="s">
        <v>1099</v>
      </c>
      <c r="E168" s="39" t="s">
        <v>415</v>
      </c>
      <c r="F168" s="40" t="s">
        <v>795</v>
      </c>
      <c r="G168" s="33"/>
      <c r="H168" s="40">
        <v>2045467850</v>
      </c>
      <c r="I168" s="40">
        <v>7932995964</v>
      </c>
      <c r="J168" s="40" t="s">
        <v>796</v>
      </c>
      <c r="K168" s="36" t="s">
        <v>797</v>
      </c>
      <c r="L168" s="34" t="s">
        <v>408</v>
      </c>
      <c r="M168" s="34" t="s">
        <v>420</v>
      </c>
      <c r="N168" s="34" t="s">
        <v>421</v>
      </c>
      <c r="O168" s="34" t="s">
        <v>475</v>
      </c>
      <c r="P168" s="35">
        <v>45916</v>
      </c>
      <c r="Q168" s="34" t="s">
        <v>432</v>
      </c>
      <c r="R168" s="34" t="s">
        <v>422</v>
      </c>
      <c r="S168" s="35">
        <v>45628</v>
      </c>
      <c r="T168" s="34" t="s">
        <v>798</v>
      </c>
      <c r="U168" s="34" t="s">
        <v>412</v>
      </c>
      <c r="V168" s="34" t="s">
        <v>762</v>
      </c>
      <c r="W168" s="34" t="s">
        <v>423</v>
      </c>
      <c r="X168" s="82" t="s">
        <v>424</v>
      </c>
      <c r="Y168" s="83"/>
      <c r="Z168" s="33"/>
      <c r="AA168" s="33"/>
      <c r="AB168" s="33"/>
    </row>
    <row r="169" spans="1:28" ht="16" thickBot="1">
      <c r="A169" s="34" t="s">
        <v>1100</v>
      </c>
      <c r="B169" s="34">
        <v>1</v>
      </c>
      <c r="C169" s="34" t="s">
        <v>683</v>
      </c>
      <c r="D169" s="34" t="s">
        <v>1100</v>
      </c>
      <c r="E169" s="33"/>
      <c r="F169" s="33"/>
      <c r="G169" s="33"/>
      <c r="H169" s="33"/>
      <c r="I169" s="33"/>
      <c r="J169" s="33"/>
      <c r="K169" s="34" t="s">
        <v>407</v>
      </c>
      <c r="L169" s="34" t="s">
        <v>408</v>
      </c>
      <c r="M169" s="34" t="s">
        <v>420</v>
      </c>
      <c r="N169" s="34" t="s">
        <v>937</v>
      </c>
      <c r="O169" s="34" t="s">
        <v>640</v>
      </c>
      <c r="P169" s="35">
        <v>45917</v>
      </c>
      <c r="Q169" s="34" t="s">
        <v>410</v>
      </c>
      <c r="R169" s="34" t="s">
        <v>652</v>
      </c>
      <c r="S169" s="35">
        <v>45836</v>
      </c>
      <c r="T169" s="34" t="s">
        <v>1101</v>
      </c>
      <c r="U169" s="34" t="s">
        <v>412</v>
      </c>
      <c r="V169" s="34" t="s">
        <v>652</v>
      </c>
      <c r="W169" s="34" t="s">
        <v>423</v>
      </c>
      <c r="X169" s="34" t="s">
        <v>424</v>
      </c>
      <c r="Y169" s="34">
        <v>141587</v>
      </c>
      <c r="Z169" s="33"/>
      <c r="AA169" s="33"/>
      <c r="AB169" s="33"/>
    </row>
    <row r="170" spans="1:28" ht="16" thickBot="1">
      <c r="A170" s="34" t="s">
        <v>1102</v>
      </c>
      <c r="B170" s="34">
        <v>1</v>
      </c>
      <c r="C170" s="34" t="s">
        <v>825</v>
      </c>
      <c r="D170" s="34" t="s">
        <v>1102</v>
      </c>
      <c r="E170" s="34" t="s">
        <v>415</v>
      </c>
      <c r="F170" s="34" t="s">
        <v>1103</v>
      </c>
      <c r="G170" s="33"/>
      <c r="H170" s="33"/>
      <c r="I170" s="34">
        <v>7877170749</v>
      </c>
      <c r="J170" s="34" t="s">
        <v>1104</v>
      </c>
      <c r="K170" s="36" t="s">
        <v>1105</v>
      </c>
      <c r="L170" s="34" t="s">
        <v>408</v>
      </c>
      <c r="M170" s="34" t="s">
        <v>409</v>
      </c>
      <c r="N170" s="34" t="s">
        <v>13</v>
      </c>
      <c r="O170" s="34" t="s">
        <v>1106</v>
      </c>
      <c r="P170" s="35">
        <v>45918</v>
      </c>
      <c r="Q170" s="34" t="s">
        <v>410</v>
      </c>
      <c r="R170" s="34" t="s">
        <v>652</v>
      </c>
      <c r="S170" s="35">
        <v>45831</v>
      </c>
      <c r="T170" s="34" t="s">
        <v>1107</v>
      </c>
      <c r="U170" s="34" t="s">
        <v>412</v>
      </c>
      <c r="V170" s="34" t="s">
        <v>762</v>
      </c>
      <c r="W170" s="34" t="s">
        <v>353</v>
      </c>
      <c r="X170" s="34" t="s">
        <v>340</v>
      </c>
      <c r="Y170" s="34" t="s">
        <v>1108</v>
      </c>
      <c r="Z170" s="33"/>
      <c r="AA170" s="33"/>
      <c r="AB170" s="33"/>
    </row>
    <row r="171" spans="1:28" ht="16" thickBot="1">
      <c r="A171" s="34" t="s">
        <v>124</v>
      </c>
      <c r="B171" s="34">
        <v>1</v>
      </c>
      <c r="C171" s="34" t="s">
        <v>434</v>
      </c>
      <c r="D171" s="34" t="s">
        <v>124</v>
      </c>
      <c r="E171" s="33"/>
      <c r="F171" s="33"/>
      <c r="G171" s="33"/>
      <c r="H171" s="33"/>
      <c r="I171" s="33"/>
      <c r="J171" s="33"/>
      <c r="K171" s="36" t="s">
        <v>1109</v>
      </c>
      <c r="L171" s="34" t="s">
        <v>408</v>
      </c>
      <c r="M171" s="34" t="s">
        <v>409</v>
      </c>
      <c r="N171" s="34" t="s">
        <v>13</v>
      </c>
      <c r="O171" s="34" t="s">
        <v>774</v>
      </c>
      <c r="P171" s="35">
        <v>45919</v>
      </c>
      <c r="Q171" s="34" t="s">
        <v>410</v>
      </c>
      <c r="R171" s="34" t="s">
        <v>652</v>
      </c>
      <c r="S171" s="35">
        <v>45697</v>
      </c>
      <c r="T171" s="34" t="s">
        <v>1110</v>
      </c>
      <c r="U171" s="34" t="s">
        <v>412</v>
      </c>
      <c r="V171" s="34" t="s">
        <v>1111</v>
      </c>
      <c r="W171" s="34" t="s">
        <v>353</v>
      </c>
      <c r="X171" s="34" t="s">
        <v>340</v>
      </c>
      <c r="Y171" s="33"/>
      <c r="Z171" s="33"/>
      <c r="AA171" s="33"/>
      <c r="AB171" s="33"/>
    </row>
    <row r="172" spans="1:28" ht="16" thickBot="1">
      <c r="A172" s="34" t="s">
        <v>1112</v>
      </c>
      <c r="B172" s="34">
        <v>1</v>
      </c>
      <c r="C172" s="34" t="s">
        <v>440</v>
      </c>
      <c r="D172" s="34" t="s">
        <v>1112</v>
      </c>
      <c r="E172" s="33"/>
      <c r="F172" s="33"/>
      <c r="G172" s="33"/>
      <c r="H172" s="33"/>
      <c r="I172" s="33"/>
      <c r="J172" s="33"/>
      <c r="K172" s="36" t="s">
        <v>1113</v>
      </c>
      <c r="L172" s="34" t="s">
        <v>408</v>
      </c>
      <c r="M172" s="34" t="s">
        <v>420</v>
      </c>
      <c r="N172" s="34" t="s">
        <v>1025</v>
      </c>
      <c r="O172" s="34" t="s">
        <v>370</v>
      </c>
      <c r="P172" s="35">
        <v>45919</v>
      </c>
      <c r="Q172" s="34" t="s">
        <v>410</v>
      </c>
      <c r="R172" s="34" t="s">
        <v>652</v>
      </c>
      <c r="S172" s="35">
        <v>45909</v>
      </c>
      <c r="T172" s="34" t="s">
        <v>1114</v>
      </c>
      <c r="U172" s="34" t="s">
        <v>412</v>
      </c>
      <c r="V172" s="34" t="s">
        <v>632</v>
      </c>
      <c r="W172" s="34" t="s">
        <v>340</v>
      </c>
      <c r="X172" s="34" t="s">
        <v>340</v>
      </c>
      <c r="Y172" s="34">
        <v>241615</v>
      </c>
      <c r="Z172" s="33"/>
      <c r="AA172" s="33"/>
      <c r="AB172" s="33"/>
    </row>
    <row r="173" spans="1:28" ht="16" thickBot="1">
      <c r="A173" s="34" t="s">
        <v>1115</v>
      </c>
      <c r="B173" s="34">
        <v>1</v>
      </c>
      <c r="C173" s="34" t="s">
        <v>1116</v>
      </c>
      <c r="D173" s="34" t="s">
        <v>1115</v>
      </c>
      <c r="E173" s="34" t="s">
        <v>415</v>
      </c>
      <c r="F173" s="34" t="s">
        <v>1117</v>
      </c>
      <c r="G173" s="34" t="s">
        <v>428</v>
      </c>
      <c r="H173" s="33"/>
      <c r="I173" s="34">
        <v>7479311847</v>
      </c>
      <c r="J173" s="34" t="s">
        <v>1118</v>
      </c>
      <c r="K173" s="36" t="s">
        <v>1119</v>
      </c>
      <c r="L173" s="34" t="s">
        <v>408</v>
      </c>
      <c r="M173" s="34" t="s">
        <v>409</v>
      </c>
      <c r="N173" s="34" t="s">
        <v>13</v>
      </c>
      <c r="O173" s="34" t="s">
        <v>382</v>
      </c>
      <c r="P173" s="35">
        <v>45923</v>
      </c>
      <c r="Q173" s="34" t="s">
        <v>410</v>
      </c>
      <c r="R173" s="34" t="s">
        <v>422</v>
      </c>
      <c r="S173" s="35">
        <v>45916</v>
      </c>
      <c r="T173" s="34" t="s">
        <v>1120</v>
      </c>
      <c r="U173" s="34" t="s">
        <v>412</v>
      </c>
      <c r="V173" s="34" t="s">
        <v>632</v>
      </c>
      <c r="W173" s="34" t="s">
        <v>353</v>
      </c>
      <c r="X173" s="34" t="s">
        <v>340</v>
      </c>
      <c r="Y173" s="33"/>
      <c r="Z173" s="33"/>
      <c r="AA173" s="33"/>
      <c r="AB173" s="33"/>
    </row>
    <row r="174" spans="1:28" ht="16" thickBot="1">
      <c r="A174" s="34" t="s">
        <v>1121</v>
      </c>
      <c r="B174" s="34">
        <v>1</v>
      </c>
      <c r="C174" s="34" t="s">
        <v>736</v>
      </c>
      <c r="D174" s="34" t="s">
        <v>1121</v>
      </c>
      <c r="E174" s="40" t="s">
        <v>415</v>
      </c>
      <c r="F174" s="34" t="s">
        <v>1122</v>
      </c>
      <c r="G174" s="34" t="s">
        <v>428</v>
      </c>
      <c r="H174" s="34">
        <v>2034413773</v>
      </c>
      <c r="I174" s="34">
        <v>7931209183</v>
      </c>
      <c r="J174" s="34" t="s">
        <v>1123</v>
      </c>
      <c r="K174" s="36" t="s">
        <v>1124</v>
      </c>
      <c r="L174" s="34" t="s">
        <v>408</v>
      </c>
      <c r="M174" s="34" t="s">
        <v>420</v>
      </c>
      <c r="N174" s="34" t="s">
        <v>431</v>
      </c>
      <c r="O174" s="34" t="s">
        <v>559</v>
      </c>
      <c r="P174" s="35">
        <v>45924</v>
      </c>
      <c r="Q174" s="34" t="s">
        <v>410</v>
      </c>
      <c r="R174" s="34" t="s">
        <v>551</v>
      </c>
      <c r="S174" s="35">
        <v>45903</v>
      </c>
      <c r="T174" s="34" t="s">
        <v>1125</v>
      </c>
      <c r="U174" s="34" t="s">
        <v>412</v>
      </c>
      <c r="V174" s="34" t="s">
        <v>1064</v>
      </c>
      <c r="W174" s="34" t="s">
        <v>423</v>
      </c>
      <c r="X174" s="82" t="s">
        <v>424</v>
      </c>
      <c r="Y174" s="83"/>
      <c r="Z174" s="33"/>
      <c r="AA174" s="33"/>
      <c r="AB174" s="33"/>
    </row>
    <row r="175" spans="1:28" ht="16" thickBot="1">
      <c r="A175" s="34" t="s">
        <v>1126</v>
      </c>
      <c r="B175" s="34">
        <v>1</v>
      </c>
      <c r="C175" s="34" t="s">
        <v>800</v>
      </c>
      <c r="D175" s="34" t="s">
        <v>1126</v>
      </c>
      <c r="E175" s="33"/>
      <c r="F175" s="33"/>
      <c r="G175" s="33"/>
      <c r="H175" s="33"/>
      <c r="I175" s="33"/>
      <c r="J175" s="33"/>
      <c r="K175" s="34" t="s">
        <v>407</v>
      </c>
      <c r="L175" s="34" t="s">
        <v>408</v>
      </c>
      <c r="M175" s="34" t="s">
        <v>420</v>
      </c>
      <c r="N175" s="34" t="s">
        <v>1025</v>
      </c>
      <c r="O175" s="34" t="s">
        <v>364</v>
      </c>
      <c r="P175" s="35">
        <v>45926</v>
      </c>
      <c r="Q175" s="34" t="s">
        <v>410</v>
      </c>
      <c r="R175" s="34" t="s">
        <v>551</v>
      </c>
      <c r="S175" s="35">
        <v>45926</v>
      </c>
      <c r="T175" s="33"/>
      <c r="U175" s="33"/>
      <c r="V175" s="33"/>
      <c r="W175" s="34" t="s">
        <v>340</v>
      </c>
      <c r="X175" s="34" t="s">
        <v>340</v>
      </c>
      <c r="Y175" s="34">
        <v>241621</v>
      </c>
      <c r="Z175" s="33"/>
      <c r="AA175" s="33"/>
      <c r="AB175" s="33"/>
    </row>
    <row r="176" spans="1:28" ht="16" thickBot="1">
      <c r="A176" s="34" t="s">
        <v>1127</v>
      </c>
      <c r="B176" s="34">
        <v>1</v>
      </c>
      <c r="C176" s="34" t="s">
        <v>736</v>
      </c>
      <c r="D176" s="34" t="s">
        <v>1127</v>
      </c>
      <c r="E176" s="40" t="s">
        <v>415</v>
      </c>
      <c r="F176" s="34" t="s">
        <v>1128</v>
      </c>
      <c r="G176" s="34" t="s">
        <v>428</v>
      </c>
      <c r="H176" s="33"/>
      <c r="I176" s="34">
        <v>7903399767</v>
      </c>
      <c r="J176" s="34" t="s">
        <v>255</v>
      </c>
      <c r="K176" s="36" t="s">
        <v>1129</v>
      </c>
      <c r="L176" s="34" t="s">
        <v>408</v>
      </c>
      <c r="M176" s="34" t="s">
        <v>409</v>
      </c>
      <c r="N176" s="34" t="s">
        <v>13</v>
      </c>
      <c r="O176" s="34" t="s">
        <v>367</v>
      </c>
      <c r="P176" s="35">
        <v>45926</v>
      </c>
      <c r="Q176" s="34" t="s">
        <v>410</v>
      </c>
      <c r="R176" s="34" t="s">
        <v>551</v>
      </c>
      <c r="S176" s="35">
        <v>45904</v>
      </c>
      <c r="T176" s="34" t="s">
        <v>1130</v>
      </c>
      <c r="U176" s="34" t="s">
        <v>412</v>
      </c>
      <c r="V176" s="34" t="s">
        <v>974</v>
      </c>
      <c r="W176" s="34" t="s">
        <v>353</v>
      </c>
      <c r="X176" s="34" t="s">
        <v>340</v>
      </c>
      <c r="Y176" s="33"/>
      <c r="Z176" s="33"/>
      <c r="AA176" s="33"/>
      <c r="AB176" s="33"/>
    </row>
    <row r="177" spans="1:28" ht="16" thickBot="1">
      <c r="A177" s="34" t="s">
        <v>49</v>
      </c>
      <c r="B177" s="34">
        <v>1</v>
      </c>
      <c r="C177" s="34" t="s">
        <v>787</v>
      </c>
      <c r="D177" s="34" t="s">
        <v>49</v>
      </c>
      <c r="E177" s="33"/>
      <c r="F177" s="33"/>
      <c r="G177" s="33"/>
      <c r="H177" s="33"/>
      <c r="I177" s="33"/>
      <c r="J177" s="33"/>
      <c r="K177" s="34" t="s">
        <v>407</v>
      </c>
      <c r="L177" s="34" t="s">
        <v>408</v>
      </c>
      <c r="M177" s="34" t="s">
        <v>409</v>
      </c>
      <c r="N177" s="34" t="s">
        <v>13</v>
      </c>
      <c r="O177" s="34" t="s">
        <v>517</v>
      </c>
      <c r="P177" s="35">
        <v>45927</v>
      </c>
      <c r="Q177" s="34" t="s">
        <v>410</v>
      </c>
      <c r="R177" s="34" t="s">
        <v>551</v>
      </c>
      <c r="S177" s="35">
        <v>45927</v>
      </c>
      <c r="T177" s="33"/>
      <c r="U177" s="33"/>
      <c r="V177" s="33"/>
      <c r="W177" s="34" t="s">
        <v>353</v>
      </c>
      <c r="X177" s="34" t="s">
        <v>340</v>
      </c>
      <c r="Y177" s="33"/>
      <c r="Z177" s="33"/>
      <c r="AA177" s="33"/>
      <c r="AB177" s="33"/>
    </row>
    <row r="178" spans="1:28" ht="16" thickBot="1">
      <c r="A178" s="34" t="s">
        <v>125</v>
      </c>
      <c r="B178" s="34">
        <v>1</v>
      </c>
      <c r="C178" s="34" t="s">
        <v>500</v>
      </c>
      <c r="D178" s="34" t="s">
        <v>125</v>
      </c>
      <c r="E178" s="33"/>
      <c r="F178" s="33"/>
      <c r="G178" s="33"/>
      <c r="H178" s="33"/>
      <c r="I178" s="33"/>
      <c r="J178" s="33"/>
      <c r="K178" s="36" t="s">
        <v>1131</v>
      </c>
      <c r="L178" s="34" t="s">
        <v>408</v>
      </c>
      <c r="M178" s="34" t="s">
        <v>409</v>
      </c>
      <c r="N178" s="34" t="s">
        <v>13</v>
      </c>
      <c r="O178" s="34" t="s">
        <v>364</v>
      </c>
      <c r="P178" s="35">
        <v>45929</v>
      </c>
      <c r="Q178" s="34" t="s">
        <v>410</v>
      </c>
      <c r="R178" s="34" t="s">
        <v>422</v>
      </c>
      <c r="S178" s="35">
        <v>45929</v>
      </c>
      <c r="T178" s="33"/>
      <c r="U178" s="33"/>
      <c r="V178" s="33"/>
      <c r="W178" s="34" t="s">
        <v>353</v>
      </c>
      <c r="X178" s="34" t="s">
        <v>340</v>
      </c>
      <c r="Y178" s="33"/>
      <c r="Z178" s="33"/>
      <c r="AA178" s="33"/>
      <c r="AB178" s="33"/>
    </row>
    <row r="179" spans="1:28" ht="16" thickBot="1">
      <c r="A179" s="34" t="s">
        <v>1132</v>
      </c>
      <c r="B179" s="34">
        <v>1</v>
      </c>
      <c r="C179" s="34" t="s">
        <v>1133</v>
      </c>
      <c r="D179" s="34" t="s">
        <v>1132</v>
      </c>
      <c r="E179" s="33"/>
      <c r="F179" s="33"/>
      <c r="G179" s="33"/>
      <c r="H179" s="33"/>
      <c r="I179" s="33"/>
      <c r="J179" s="33"/>
      <c r="K179" s="34" t="s">
        <v>407</v>
      </c>
      <c r="L179" s="34" t="s">
        <v>408</v>
      </c>
      <c r="M179" s="34" t="s">
        <v>420</v>
      </c>
      <c r="N179" s="34" t="s">
        <v>421</v>
      </c>
      <c r="O179" s="34" t="s">
        <v>378</v>
      </c>
      <c r="P179" s="35">
        <v>45929</v>
      </c>
      <c r="Q179" s="34" t="s">
        <v>410</v>
      </c>
      <c r="R179" s="34" t="s">
        <v>551</v>
      </c>
      <c r="S179" s="35">
        <v>45929</v>
      </c>
      <c r="T179" s="33"/>
      <c r="U179" s="33"/>
      <c r="V179" s="33"/>
      <c r="W179" s="34" t="s">
        <v>423</v>
      </c>
      <c r="X179" s="82" t="s">
        <v>424</v>
      </c>
      <c r="Y179" s="83"/>
      <c r="Z179" s="33"/>
      <c r="AA179" s="33"/>
      <c r="AB179" s="33"/>
    </row>
    <row r="180" spans="1:28" ht="16" thickBot="1">
      <c r="A180" s="34" t="s">
        <v>464</v>
      </c>
      <c r="B180" s="34">
        <v>3</v>
      </c>
      <c r="C180" s="34" t="s">
        <v>465</v>
      </c>
      <c r="D180" s="34" t="s">
        <v>1134</v>
      </c>
      <c r="E180" s="34" t="s">
        <v>415</v>
      </c>
      <c r="F180" s="34" t="s">
        <v>554</v>
      </c>
      <c r="G180" s="34" t="s">
        <v>428</v>
      </c>
      <c r="H180" s="34">
        <v>1327703841</v>
      </c>
      <c r="I180" s="33"/>
      <c r="J180" s="33"/>
      <c r="K180" s="36" t="s">
        <v>1135</v>
      </c>
      <c r="L180" s="34" t="s">
        <v>408</v>
      </c>
      <c r="M180" s="34" t="s">
        <v>409</v>
      </c>
      <c r="N180" s="34" t="s">
        <v>13</v>
      </c>
      <c r="O180" s="34" t="s">
        <v>364</v>
      </c>
      <c r="P180" s="35">
        <v>45931</v>
      </c>
      <c r="Q180" s="34" t="s">
        <v>410</v>
      </c>
      <c r="R180" s="34" t="s">
        <v>422</v>
      </c>
      <c r="S180" s="35">
        <v>45931</v>
      </c>
      <c r="T180" s="33"/>
      <c r="U180" s="33"/>
      <c r="V180" s="33"/>
      <c r="W180" s="34" t="s">
        <v>353</v>
      </c>
      <c r="X180" s="34" t="s">
        <v>340</v>
      </c>
      <c r="Y180" s="33"/>
      <c r="Z180" s="33"/>
      <c r="AA180" s="33"/>
      <c r="AB180" s="33"/>
    </row>
    <row r="181" spans="1:28" ht="16" thickBot="1">
      <c r="A181" s="34" t="s">
        <v>1136</v>
      </c>
      <c r="B181" s="34">
        <v>1</v>
      </c>
      <c r="C181" s="34" t="s">
        <v>670</v>
      </c>
      <c r="D181" s="34" t="s">
        <v>1136</v>
      </c>
      <c r="E181" s="33"/>
      <c r="F181" s="33"/>
      <c r="G181" s="33"/>
      <c r="H181" s="33"/>
      <c r="I181" s="33"/>
      <c r="J181" s="33"/>
      <c r="K181" s="36" t="s">
        <v>1137</v>
      </c>
      <c r="L181" s="34" t="s">
        <v>408</v>
      </c>
      <c r="M181" s="34" t="s">
        <v>420</v>
      </c>
      <c r="N181" s="34" t="s">
        <v>431</v>
      </c>
      <c r="O181" s="34" t="s">
        <v>559</v>
      </c>
      <c r="P181" s="35">
        <v>45936</v>
      </c>
      <c r="Q181" s="34" t="s">
        <v>410</v>
      </c>
      <c r="R181" s="34" t="s">
        <v>551</v>
      </c>
      <c r="S181" s="35">
        <v>45936</v>
      </c>
      <c r="T181" s="33"/>
      <c r="U181" s="33"/>
      <c r="V181" s="33"/>
      <c r="W181" s="34" t="s">
        <v>423</v>
      </c>
      <c r="X181" s="34" t="s">
        <v>424</v>
      </c>
      <c r="Y181" s="34">
        <v>241636</v>
      </c>
      <c r="Z181" s="33"/>
      <c r="AA181" s="33"/>
      <c r="AB181" s="33"/>
    </row>
    <row r="182" spans="1:28" ht="16" thickBot="1">
      <c r="A182" s="34" t="s">
        <v>663</v>
      </c>
      <c r="B182" s="34">
        <v>2</v>
      </c>
      <c r="C182" s="34" t="s">
        <v>434</v>
      </c>
      <c r="D182" s="34" t="s">
        <v>1138</v>
      </c>
      <c r="E182" s="33"/>
      <c r="F182" s="33"/>
      <c r="G182" s="33"/>
      <c r="H182" s="33"/>
      <c r="I182" s="33"/>
      <c r="J182" s="33"/>
      <c r="K182" s="36" t="s">
        <v>666</v>
      </c>
      <c r="L182" s="34" t="s">
        <v>408</v>
      </c>
      <c r="M182" s="34" t="s">
        <v>409</v>
      </c>
      <c r="N182" s="34" t="s">
        <v>13</v>
      </c>
      <c r="O182" s="34" t="s">
        <v>364</v>
      </c>
      <c r="P182" s="35">
        <v>45937</v>
      </c>
      <c r="Q182" s="34" t="s">
        <v>432</v>
      </c>
      <c r="R182" s="34" t="s">
        <v>422</v>
      </c>
      <c r="S182" s="35">
        <v>45937</v>
      </c>
      <c r="T182" s="33"/>
      <c r="U182" s="33"/>
      <c r="V182" s="33"/>
      <c r="W182" s="34" t="s">
        <v>353</v>
      </c>
      <c r="X182" s="34" t="s">
        <v>340</v>
      </c>
      <c r="Y182" s="33"/>
      <c r="Z182" s="33"/>
      <c r="AA182" s="33"/>
      <c r="AB182" s="33"/>
    </row>
    <row r="183" spans="1:28" ht="16" thickBot="1">
      <c r="A183" s="34" t="s">
        <v>1139</v>
      </c>
      <c r="B183" s="34">
        <v>1</v>
      </c>
      <c r="C183" s="34" t="s">
        <v>455</v>
      </c>
      <c r="D183" s="34" t="s">
        <v>1140</v>
      </c>
      <c r="E183" s="33"/>
      <c r="F183" s="33"/>
      <c r="G183" s="33"/>
      <c r="H183" s="33"/>
      <c r="I183" s="33"/>
      <c r="J183" s="33"/>
      <c r="K183" s="34" t="s">
        <v>407</v>
      </c>
      <c r="L183" s="34" t="s">
        <v>408</v>
      </c>
      <c r="M183" s="34" t="s">
        <v>409</v>
      </c>
      <c r="N183" s="34" t="s">
        <v>13</v>
      </c>
      <c r="O183" s="34" t="s">
        <v>1141</v>
      </c>
      <c r="P183" s="35">
        <v>45938</v>
      </c>
      <c r="Q183" s="34" t="s">
        <v>410</v>
      </c>
      <c r="R183" s="34" t="s">
        <v>551</v>
      </c>
      <c r="S183" s="35">
        <v>45938</v>
      </c>
      <c r="T183" s="33"/>
      <c r="U183" s="33"/>
      <c r="V183" s="33"/>
      <c r="W183" s="34" t="s">
        <v>353</v>
      </c>
      <c r="X183" s="34" t="s">
        <v>340</v>
      </c>
      <c r="Y183" s="33"/>
      <c r="Z183" s="33"/>
      <c r="AA183" s="33"/>
      <c r="AB183" s="33"/>
    </row>
    <row r="184" spans="1:28" ht="16" thickBot="1">
      <c r="A184" s="34" t="s">
        <v>1139</v>
      </c>
      <c r="B184" s="34">
        <v>2</v>
      </c>
      <c r="C184" s="34" t="s">
        <v>426</v>
      </c>
      <c r="D184" s="34" t="s">
        <v>1142</v>
      </c>
      <c r="E184" s="33"/>
      <c r="F184" s="33"/>
      <c r="G184" s="33"/>
      <c r="H184" s="33"/>
      <c r="I184" s="33"/>
      <c r="J184" s="33"/>
      <c r="K184" s="34" t="s">
        <v>407</v>
      </c>
      <c r="L184" s="34" t="s">
        <v>408</v>
      </c>
      <c r="M184" s="34" t="s">
        <v>409</v>
      </c>
      <c r="N184" s="34" t="s">
        <v>13</v>
      </c>
      <c r="O184" s="34" t="s">
        <v>1141</v>
      </c>
      <c r="P184" s="35">
        <v>45938</v>
      </c>
      <c r="Q184" s="34" t="s">
        <v>410</v>
      </c>
      <c r="R184" s="34" t="s">
        <v>551</v>
      </c>
      <c r="S184" s="35">
        <v>45938</v>
      </c>
      <c r="T184" s="33"/>
      <c r="U184" s="33"/>
      <c r="V184" s="33"/>
      <c r="W184" s="34" t="s">
        <v>353</v>
      </c>
      <c r="X184" s="34" t="s">
        <v>340</v>
      </c>
      <c r="Y184" s="33"/>
      <c r="Z184" s="33"/>
      <c r="AA184" s="33"/>
      <c r="AB184" s="33"/>
    </row>
    <row r="185" spans="1:28" ht="16" thickBot="1">
      <c r="A185" s="34" t="s">
        <v>1143</v>
      </c>
      <c r="B185" s="34">
        <v>1</v>
      </c>
      <c r="C185" s="34" t="s">
        <v>608</v>
      </c>
      <c r="D185" s="34" t="s">
        <v>1143</v>
      </c>
      <c r="E185" s="39" t="s">
        <v>415</v>
      </c>
      <c r="F185" s="34" t="s">
        <v>1144</v>
      </c>
      <c r="G185" s="34" t="s">
        <v>417</v>
      </c>
      <c r="H185" s="33"/>
      <c r="I185" s="34">
        <v>7545475009</v>
      </c>
      <c r="J185" s="34" t="s">
        <v>1145</v>
      </c>
      <c r="K185" s="34" t="s">
        <v>407</v>
      </c>
      <c r="L185" s="34" t="s">
        <v>408</v>
      </c>
      <c r="M185" s="34" t="s">
        <v>420</v>
      </c>
      <c r="N185" s="34" t="s">
        <v>431</v>
      </c>
      <c r="O185" s="34" t="s">
        <v>559</v>
      </c>
      <c r="P185" s="35">
        <v>45938</v>
      </c>
      <c r="Q185" s="34" t="s">
        <v>410</v>
      </c>
      <c r="R185" s="34" t="s">
        <v>422</v>
      </c>
      <c r="S185" s="35">
        <v>45932</v>
      </c>
      <c r="T185" s="34" t="s">
        <v>1146</v>
      </c>
      <c r="U185" s="34" t="s">
        <v>412</v>
      </c>
      <c r="V185" s="34" t="s">
        <v>762</v>
      </c>
      <c r="W185" s="34" t="s">
        <v>423</v>
      </c>
      <c r="X185" s="82" t="s">
        <v>424</v>
      </c>
      <c r="Y185" s="83"/>
      <c r="Z185" s="33"/>
      <c r="AA185" s="33"/>
      <c r="AB185" s="33"/>
    </row>
    <row r="186" spans="1:28" ht="16" thickBot="1">
      <c r="A186" s="34" t="s">
        <v>1017</v>
      </c>
      <c r="B186" s="34">
        <v>3</v>
      </c>
      <c r="C186" s="34" t="s">
        <v>534</v>
      </c>
      <c r="D186" s="34" t="s">
        <v>1147</v>
      </c>
      <c r="E186" s="33"/>
      <c r="F186" s="33"/>
      <c r="G186" s="33"/>
      <c r="H186" s="33"/>
      <c r="I186" s="33"/>
      <c r="J186" s="33"/>
      <c r="K186" s="36" t="s">
        <v>1148</v>
      </c>
      <c r="L186" s="34" t="s">
        <v>408</v>
      </c>
      <c r="M186" s="34" t="s">
        <v>420</v>
      </c>
      <c r="N186" s="34" t="s">
        <v>431</v>
      </c>
      <c r="O186" s="34" t="s">
        <v>559</v>
      </c>
      <c r="P186" s="35">
        <v>45940</v>
      </c>
      <c r="Q186" s="34" t="s">
        <v>432</v>
      </c>
      <c r="R186" s="34" t="s">
        <v>551</v>
      </c>
      <c r="S186" s="35">
        <v>45940</v>
      </c>
      <c r="T186" s="33"/>
      <c r="U186" s="33"/>
      <c r="V186" s="33"/>
      <c r="W186" s="34" t="s">
        <v>423</v>
      </c>
      <c r="X186" s="34" t="s">
        <v>424</v>
      </c>
      <c r="Y186" s="34">
        <v>241650</v>
      </c>
      <c r="Z186" s="33"/>
      <c r="AA186" s="33"/>
      <c r="AB186" s="33"/>
    </row>
    <row r="187" spans="1:28" ht="16" thickBot="1">
      <c r="A187" s="34" t="s">
        <v>1149</v>
      </c>
      <c r="B187" s="34">
        <v>1</v>
      </c>
      <c r="C187" s="34" t="s">
        <v>958</v>
      </c>
      <c r="D187" s="34" t="s">
        <v>1149</v>
      </c>
      <c r="E187" s="33"/>
      <c r="F187" s="33"/>
      <c r="G187" s="33"/>
      <c r="H187" s="33"/>
      <c r="I187" s="33"/>
      <c r="J187" s="33"/>
      <c r="K187" s="36" t="s">
        <v>1150</v>
      </c>
      <c r="L187" s="34" t="s">
        <v>408</v>
      </c>
      <c r="M187" s="34" t="s">
        <v>420</v>
      </c>
      <c r="N187" s="34" t="s">
        <v>431</v>
      </c>
      <c r="O187" s="34" t="s">
        <v>559</v>
      </c>
      <c r="P187" s="35">
        <v>45941</v>
      </c>
      <c r="Q187" s="34" t="s">
        <v>410</v>
      </c>
      <c r="R187" s="34" t="s">
        <v>551</v>
      </c>
      <c r="S187" s="35">
        <v>45941</v>
      </c>
      <c r="T187" s="33"/>
      <c r="U187" s="33"/>
      <c r="V187" s="33"/>
      <c r="W187" s="34" t="s">
        <v>423</v>
      </c>
      <c r="X187" s="34" t="s">
        <v>424</v>
      </c>
      <c r="Y187" s="34">
        <v>241652</v>
      </c>
      <c r="Z187" s="33"/>
      <c r="AA187" s="33"/>
      <c r="AB187" s="33"/>
    </row>
    <row r="188" spans="1:28" ht="16" thickBot="1">
      <c r="A188" s="34" t="s">
        <v>1149</v>
      </c>
      <c r="B188" s="34">
        <v>2</v>
      </c>
      <c r="C188" s="34" t="s">
        <v>958</v>
      </c>
      <c r="D188" s="34" t="s">
        <v>1149</v>
      </c>
      <c r="E188" s="33"/>
      <c r="F188" s="33"/>
      <c r="G188" s="33"/>
      <c r="H188" s="33"/>
      <c r="I188" s="33"/>
      <c r="J188" s="33"/>
      <c r="K188" s="36" t="s">
        <v>1150</v>
      </c>
      <c r="L188" s="34" t="s">
        <v>408</v>
      </c>
      <c r="M188" s="34" t="s">
        <v>420</v>
      </c>
      <c r="N188" s="34" t="s">
        <v>1025</v>
      </c>
      <c r="O188" s="34" t="s">
        <v>370</v>
      </c>
      <c r="P188" s="35">
        <v>45941</v>
      </c>
      <c r="Q188" s="34" t="s">
        <v>432</v>
      </c>
      <c r="R188" s="34" t="s">
        <v>551</v>
      </c>
      <c r="S188" s="35">
        <v>45941</v>
      </c>
      <c r="T188" s="33"/>
      <c r="U188" s="33"/>
      <c r="V188" s="33"/>
      <c r="W188" s="34" t="s">
        <v>340</v>
      </c>
      <c r="X188" s="34" t="s">
        <v>340</v>
      </c>
      <c r="Y188" s="34" t="s">
        <v>642</v>
      </c>
      <c r="Z188" s="33"/>
      <c r="AA188" s="33"/>
      <c r="AB188" s="33"/>
    </row>
    <row r="189" spans="1:28" ht="16" thickBot="1">
      <c r="A189" s="34" t="s">
        <v>1151</v>
      </c>
      <c r="B189" s="34">
        <v>1</v>
      </c>
      <c r="C189" s="34" t="s">
        <v>534</v>
      </c>
      <c r="D189" s="34" t="s">
        <v>1151</v>
      </c>
      <c r="E189" s="33"/>
      <c r="F189" s="33"/>
      <c r="G189" s="33"/>
      <c r="H189" s="33"/>
      <c r="I189" s="33"/>
      <c r="J189" s="33"/>
      <c r="K189" s="36" t="s">
        <v>1152</v>
      </c>
      <c r="L189" s="34" t="s">
        <v>408</v>
      </c>
      <c r="M189" s="34" t="s">
        <v>409</v>
      </c>
      <c r="N189" s="34" t="s">
        <v>13</v>
      </c>
      <c r="O189" s="34" t="s">
        <v>774</v>
      </c>
      <c r="P189" s="35">
        <v>45943</v>
      </c>
      <c r="Q189" s="34" t="s">
        <v>410</v>
      </c>
      <c r="R189" s="34" t="s">
        <v>551</v>
      </c>
      <c r="S189" s="35">
        <v>45943</v>
      </c>
      <c r="T189" s="33"/>
      <c r="U189" s="33"/>
      <c r="V189" s="33"/>
      <c r="W189" s="34" t="s">
        <v>353</v>
      </c>
      <c r="X189" s="34" t="s">
        <v>340</v>
      </c>
      <c r="Y189" s="34">
        <v>241647</v>
      </c>
      <c r="Z189" s="33"/>
      <c r="AA189" s="33"/>
      <c r="AB189" s="33"/>
    </row>
    <row r="190" spans="1:28" ht="16" thickBot="1">
      <c r="A190" s="34" t="s">
        <v>512</v>
      </c>
      <c r="B190" s="34">
        <v>2</v>
      </c>
      <c r="C190" s="34" t="s">
        <v>534</v>
      </c>
      <c r="D190" s="34" t="s">
        <v>1151</v>
      </c>
      <c r="E190" s="33"/>
      <c r="F190" s="33"/>
      <c r="G190" s="33"/>
      <c r="H190" s="33"/>
      <c r="I190" s="33"/>
      <c r="J190" s="33"/>
      <c r="K190" s="36" t="s">
        <v>1152</v>
      </c>
      <c r="L190" s="34" t="s">
        <v>408</v>
      </c>
      <c r="M190" s="34" t="s">
        <v>420</v>
      </c>
      <c r="N190" s="34" t="s">
        <v>421</v>
      </c>
      <c r="O190" s="34" t="s">
        <v>779</v>
      </c>
      <c r="P190" s="35">
        <v>45943</v>
      </c>
      <c r="Q190" s="34" t="s">
        <v>432</v>
      </c>
      <c r="R190" s="34" t="s">
        <v>551</v>
      </c>
      <c r="S190" s="35">
        <v>45943</v>
      </c>
      <c r="T190" s="33"/>
      <c r="U190" s="33"/>
      <c r="V190" s="33"/>
      <c r="W190" s="34" t="s">
        <v>423</v>
      </c>
      <c r="X190" s="34" t="s">
        <v>424</v>
      </c>
      <c r="Y190" s="34">
        <v>241648</v>
      </c>
      <c r="Z190" s="33"/>
      <c r="AA190" s="33"/>
      <c r="AB190" s="33"/>
    </row>
    <row r="191" spans="1:28" ht="16" thickBot="1">
      <c r="A191" s="34" t="s">
        <v>118</v>
      </c>
      <c r="B191" s="34">
        <v>1</v>
      </c>
      <c r="C191" s="34" t="s">
        <v>695</v>
      </c>
      <c r="D191" s="34" t="s">
        <v>118</v>
      </c>
      <c r="E191" s="34" t="s">
        <v>415</v>
      </c>
      <c r="F191" s="34" t="s">
        <v>1153</v>
      </c>
      <c r="G191" s="34" t="s">
        <v>417</v>
      </c>
      <c r="H191" s="33"/>
      <c r="I191" s="34">
        <v>7501845629</v>
      </c>
      <c r="J191" s="34" t="s">
        <v>1154</v>
      </c>
      <c r="K191" s="36" t="s">
        <v>1155</v>
      </c>
      <c r="L191" s="34" t="s">
        <v>408</v>
      </c>
      <c r="M191" s="34" t="s">
        <v>409</v>
      </c>
      <c r="N191" s="34" t="s">
        <v>13</v>
      </c>
      <c r="O191" s="34" t="s">
        <v>364</v>
      </c>
      <c r="P191" s="35">
        <v>45943</v>
      </c>
      <c r="Q191" s="34" t="s">
        <v>410</v>
      </c>
      <c r="R191" s="34" t="s">
        <v>652</v>
      </c>
      <c r="S191" s="35">
        <v>45915</v>
      </c>
      <c r="T191" s="34" t="s">
        <v>1156</v>
      </c>
      <c r="U191" s="34" t="s">
        <v>412</v>
      </c>
      <c r="V191" s="34" t="s">
        <v>974</v>
      </c>
      <c r="W191" s="34" t="s">
        <v>353</v>
      </c>
      <c r="X191" s="34" t="s">
        <v>340</v>
      </c>
      <c r="Y191" s="33"/>
      <c r="Z191" s="33"/>
      <c r="AA191" s="33"/>
      <c r="AB191" s="33"/>
    </row>
    <row r="192" spans="1:28" ht="16" thickBot="1">
      <c r="A192" s="34" t="s">
        <v>1157</v>
      </c>
      <c r="B192" s="34">
        <v>1</v>
      </c>
      <c r="C192" s="34" t="s">
        <v>500</v>
      </c>
      <c r="D192" s="34" t="s">
        <v>1157</v>
      </c>
      <c r="E192" s="33"/>
      <c r="F192" s="33"/>
      <c r="G192" s="33"/>
      <c r="H192" s="33"/>
      <c r="I192" s="33"/>
      <c r="J192" s="33"/>
      <c r="K192" s="34" t="s">
        <v>407</v>
      </c>
      <c r="L192" s="34" t="s">
        <v>408</v>
      </c>
      <c r="M192" s="34" t="s">
        <v>409</v>
      </c>
      <c r="N192" s="34" t="s">
        <v>13</v>
      </c>
      <c r="O192" s="34" t="s">
        <v>364</v>
      </c>
      <c r="P192" s="35">
        <v>45943</v>
      </c>
      <c r="Q192" s="34" t="s">
        <v>410</v>
      </c>
      <c r="R192" s="34" t="s">
        <v>551</v>
      </c>
      <c r="S192" s="35">
        <v>45943</v>
      </c>
      <c r="T192" s="33"/>
      <c r="U192" s="33"/>
      <c r="V192" s="33"/>
      <c r="W192" s="34" t="s">
        <v>353</v>
      </c>
      <c r="X192" s="34" t="s">
        <v>340</v>
      </c>
      <c r="Y192" s="33"/>
      <c r="Z192" s="33"/>
      <c r="AA192" s="33"/>
      <c r="AB192" s="33"/>
    </row>
    <row r="193" spans="1:28" ht="16" thickBot="1">
      <c r="A193" s="34" t="s">
        <v>1158</v>
      </c>
      <c r="B193" s="34">
        <v>1</v>
      </c>
      <c r="C193" s="34" t="s">
        <v>500</v>
      </c>
      <c r="D193" s="34" t="s">
        <v>1158</v>
      </c>
      <c r="E193" s="33"/>
      <c r="F193" s="33"/>
      <c r="G193" s="33"/>
      <c r="H193" s="33"/>
      <c r="I193" s="33"/>
      <c r="J193" s="33"/>
      <c r="K193" s="36" t="s">
        <v>1159</v>
      </c>
      <c r="L193" s="34" t="s">
        <v>408</v>
      </c>
      <c r="M193" s="34" t="s">
        <v>409</v>
      </c>
      <c r="N193" s="34" t="s">
        <v>13</v>
      </c>
      <c r="O193" s="34" t="s">
        <v>364</v>
      </c>
      <c r="P193" s="35">
        <v>45943</v>
      </c>
      <c r="Q193" s="34" t="s">
        <v>410</v>
      </c>
      <c r="R193" s="34" t="s">
        <v>551</v>
      </c>
      <c r="S193" s="35">
        <v>45943</v>
      </c>
      <c r="T193" s="33"/>
      <c r="U193" s="33"/>
      <c r="V193" s="33"/>
      <c r="W193" s="34" t="s">
        <v>353</v>
      </c>
      <c r="X193" s="34" t="s">
        <v>340</v>
      </c>
      <c r="Y193" s="34">
        <v>241646</v>
      </c>
      <c r="Z193" s="33"/>
      <c r="AA193" s="33"/>
      <c r="AB193" s="33"/>
    </row>
    <row r="194" spans="1:28" ht="16" thickBot="1">
      <c r="A194" s="34" t="s">
        <v>781</v>
      </c>
      <c r="B194" s="34">
        <v>2</v>
      </c>
      <c r="C194" s="34" t="s">
        <v>534</v>
      </c>
      <c r="D194" s="34" t="s">
        <v>781</v>
      </c>
      <c r="E194" s="33"/>
      <c r="F194" s="33"/>
      <c r="G194" s="33"/>
      <c r="H194" s="33"/>
      <c r="I194" s="33"/>
      <c r="J194" s="33"/>
      <c r="K194" s="34" t="s">
        <v>407</v>
      </c>
      <c r="L194" s="34" t="s">
        <v>408</v>
      </c>
      <c r="M194" s="34" t="s">
        <v>409</v>
      </c>
      <c r="N194" s="34" t="s">
        <v>13</v>
      </c>
      <c r="O194" s="34" t="s">
        <v>378</v>
      </c>
      <c r="P194" s="35">
        <v>45943</v>
      </c>
      <c r="Q194" s="34" t="s">
        <v>432</v>
      </c>
      <c r="R194" s="34" t="s">
        <v>551</v>
      </c>
      <c r="S194" s="35">
        <v>45943</v>
      </c>
      <c r="T194" s="33"/>
      <c r="U194" s="33"/>
      <c r="V194" s="33"/>
      <c r="W194" s="34" t="s">
        <v>353</v>
      </c>
      <c r="X194" s="34" t="s">
        <v>340</v>
      </c>
      <c r="Y194" s="33"/>
      <c r="Z194" s="33"/>
      <c r="AA194" s="33"/>
      <c r="AB194" s="33"/>
    </row>
    <row r="195" spans="1:28" ht="16" thickBot="1">
      <c r="A195" s="34" t="s">
        <v>1160</v>
      </c>
      <c r="B195" s="34">
        <v>1</v>
      </c>
      <c r="C195" s="34" t="s">
        <v>440</v>
      </c>
      <c r="D195" s="34" t="s">
        <v>1160</v>
      </c>
      <c r="E195" s="33"/>
      <c r="F195" s="33"/>
      <c r="G195" s="33"/>
      <c r="H195" s="33"/>
      <c r="I195" s="33"/>
      <c r="J195" s="33"/>
      <c r="K195" s="36" t="s">
        <v>1161</v>
      </c>
      <c r="L195" s="34" t="s">
        <v>408</v>
      </c>
      <c r="M195" s="34" t="s">
        <v>420</v>
      </c>
      <c r="N195" s="34" t="s">
        <v>1025</v>
      </c>
      <c r="O195" s="34" t="s">
        <v>370</v>
      </c>
      <c r="P195" s="35">
        <v>45944</v>
      </c>
      <c r="Q195" s="34" t="s">
        <v>410</v>
      </c>
      <c r="R195" s="34" t="s">
        <v>652</v>
      </c>
      <c r="S195" s="35">
        <v>45909</v>
      </c>
      <c r="T195" s="34" t="s">
        <v>1162</v>
      </c>
      <c r="U195" s="34" t="s">
        <v>412</v>
      </c>
      <c r="V195" s="34" t="s">
        <v>1163</v>
      </c>
      <c r="W195" s="34" t="s">
        <v>340</v>
      </c>
      <c r="X195" s="34" t="s">
        <v>340</v>
      </c>
      <c r="Y195" s="33"/>
      <c r="Z195" s="33"/>
      <c r="AA195" s="33"/>
      <c r="AB195" s="33"/>
    </row>
    <row r="196" spans="1:28" ht="16" thickBot="1">
      <c r="A196" s="34" t="s">
        <v>1164</v>
      </c>
      <c r="B196" s="34">
        <v>1</v>
      </c>
      <c r="C196" s="34" t="s">
        <v>1165</v>
      </c>
      <c r="D196" s="34" t="s">
        <v>1164</v>
      </c>
      <c r="E196" s="33"/>
      <c r="F196" s="33"/>
      <c r="G196" s="33"/>
      <c r="H196" s="33"/>
      <c r="I196" s="33"/>
      <c r="J196" s="33"/>
      <c r="K196" s="34" t="s">
        <v>407</v>
      </c>
      <c r="L196" s="34" t="s">
        <v>408</v>
      </c>
      <c r="M196" s="34" t="s">
        <v>409</v>
      </c>
      <c r="N196" s="34" t="s">
        <v>13</v>
      </c>
      <c r="O196" s="34" t="s">
        <v>774</v>
      </c>
      <c r="P196" s="35">
        <v>45945</v>
      </c>
      <c r="Q196" s="34" t="s">
        <v>410</v>
      </c>
      <c r="R196" s="34" t="s">
        <v>551</v>
      </c>
      <c r="S196" s="35">
        <v>45945</v>
      </c>
      <c r="T196" s="33"/>
      <c r="U196" s="33"/>
      <c r="V196" s="33"/>
      <c r="W196" s="34" t="s">
        <v>353</v>
      </c>
      <c r="X196" s="34" t="s">
        <v>340</v>
      </c>
      <c r="Y196" s="33"/>
      <c r="Z196" s="33"/>
      <c r="AA196" s="33"/>
      <c r="AB196" s="33"/>
    </row>
    <row r="197" spans="1:28" ht="16" thickBot="1">
      <c r="A197" s="34" t="s">
        <v>130</v>
      </c>
      <c r="B197" s="34">
        <v>1</v>
      </c>
      <c r="C197" s="34" t="s">
        <v>683</v>
      </c>
      <c r="D197" s="34" t="s">
        <v>130</v>
      </c>
      <c r="E197" s="39" t="s">
        <v>415</v>
      </c>
      <c r="F197" s="34" t="s">
        <v>1166</v>
      </c>
      <c r="G197" s="34" t="s">
        <v>417</v>
      </c>
      <c r="H197" s="33"/>
      <c r="I197" s="34">
        <v>7551346329</v>
      </c>
      <c r="J197" s="34" t="s">
        <v>1167</v>
      </c>
      <c r="K197" s="36" t="s">
        <v>1168</v>
      </c>
      <c r="L197" s="34" t="s">
        <v>408</v>
      </c>
      <c r="M197" s="34" t="s">
        <v>409</v>
      </c>
      <c r="N197" s="34" t="s">
        <v>13</v>
      </c>
      <c r="O197" s="34" t="s">
        <v>774</v>
      </c>
      <c r="P197" s="35">
        <v>45950</v>
      </c>
      <c r="Q197" s="34" t="s">
        <v>410</v>
      </c>
      <c r="R197" s="34" t="s">
        <v>551</v>
      </c>
      <c r="S197" s="35">
        <v>45943</v>
      </c>
      <c r="T197" s="34" t="s">
        <v>1169</v>
      </c>
      <c r="U197" s="34" t="s">
        <v>412</v>
      </c>
      <c r="V197" s="34" t="s">
        <v>1111</v>
      </c>
      <c r="W197" s="34" t="s">
        <v>353</v>
      </c>
      <c r="X197" s="34" t="s">
        <v>340</v>
      </c>
      <c r="Y197" s="34">
        <v>241670</v>
      </c>
      <c r="Z197" s="33"/>
      <c r="AA197" s="33"/>
      <c r="AB197" s="33"/>
    </row>
    <row r="198" spans="1:28" ht="16" thickBot="1">
      <c r="A198" s="34" t="s">
        <v>1121</v>
      </c>
      <c r="B198" s="34">
        <v>2</v>
      </c>
      <c r="C198" s="34" t="s">
        <v>736</v>
      </c>
      <c r="D198" s="34" t="s">
        <v>1121</v>
      </c>
      <c r="E198" s="40" t="s">
        <v>415</v>
      </c>
      <c r="F198" s="34" t="s">
        <v>1122</v>
      </c>
      <c r="G198" s="34" t="s">
        <v>428</v>
      </c>
      <c r="H198" s="34">
        <v>2034413773</v>
      </c>
      <c r="I198" s="34">
        <v>7931209183</v>
      </c>
      <c r="J198" s="34" t="s">
        <v>1123</v>
      </c>
      <c r="K198" s="36" t="s">
        <v>1124</v>
      </c>
      <c r="L198" s="34" t="s">
        <v>408</v>
      </c>
      <c r="M198" s="34" t="s">
        <v>409</v>
      </c>
      <c r="N198" s="34" t="s">
        <v>13</v>
      </c>
      <c r="O198" s="34" t="s">
        <v>559</v>
      </c>
      <c r="P198" s="35">
        <v>45952</v>
      </c>
      <c r="Q198" s="34" t="s">
        <v>432</v>
      </c>
      <c r="R198" s="34" t="s">
        <v>551</v>
      </c>
      <c r="S198" s="35">
        <v>45903</v>
      </c>
      <c r="T198" s="34" t="s">
        <v>1125</v>
      </c>
      <c r="U198" s="34" t="s">
        <v>412</v>
      </c>
      <c r="V198" s="34" t="s">
        <v>1064</v>
      </c>
      <c r="W198" s="34" t="s">
        <v>353</v>
      </c>
      <c r="X198" s="34" t="s">
        <v>340</v>
      </c>
      <c r="Y198" s="33"/>
      <c r="Z198" s="33"/>
      <c r="AA198" s="33"/>
      <c r="AB198" s="33"/>
    </row>
    <row r="199" spans="1:28" ht="16" thickBot="1">
      <c r="A199" s="34" t="s">
        <v>1170</v>
      </c>
      <c r="B199" s="34">
        <v>1</v>
      </c>
      <c r="C199" s="34" t="s">
        <v>958</v>
      </c>
      <c r="D199" s="34" t="s">
        <v>1170</v>
      </c>
      <c r="E199" s="33"/>
      <c r="F199" s="33"/>
      <c r="G199" s="33"/>
      <c r="H199" s="33"/>
      <c r="I199" s="33"/>
      <c r="J199" s="33"/>
      <c r="K199" s="36" t="s">
        <v>1171</v>
      </c>
      <c r="L199" s="34" t="s">
        <v>408</v>
      </c>
      <c r="M199" s="34" t="s">
        <v>409</v>
      </c>
      <c r="N199" s="34" t="s">
        <v>13</v>
      </c>
      <c r="O199" s="34" t="s">
        <v>774</v>
      </c>
      <c r="P199" s="35">
        <v>45957</v>
      </c>
      <c r="Q199" s="34" t="s">
        <v>410</v>
      </c>
      <c r="R199" s="34" t="s">
        <v>551</v>
      </c>
      <c r="S199" s="35">
        <v>45957</v>
      </c>
      <c r="T199" s="33"/>
      <c r="U199" s="33"/>
      <c r="V199" s="33"/>
      <c r="W199" s="34" t="s">
        <v>353</v>
      </c>
      <c r="X199" s="34" t="s">
        <v>340</v>
      </c>
      <c r="Y199" s="33"/>
      <c r="Z199" s="33"/>
      <c r="AA199" s="33"/>
      <c r="AB199" s="33"/>
    </row>
    <row r="200" spans="1:28" ht="16" thickBot="1">
      <c r="A200" s="34" t="s">
        <v>735</v>
      </c>
      <c r="B200" s="34">
        <v>2</v>
      </c>
      <c r="C200" s="34" t="s">
        <v>736</v>
      </c>
      <c r="D200" s="34" t="s">
        <v>735</v>
      </c>
      <c r="E200" s="34" t="s">
        <v>627</v>
      </c>
      <c r="F200" s="40" t="s">
        <v>737</v>
      </c>
      <c r="G200" s="34" t="s">
        <v>428</v>
      </c>
      <c r="H200" s="33"/>
      <c r="I200" s="40">
        <v>7910781802</v>
      </c>
      <c r="J200" s="40" t="s">
        <v>738</v>
      </c>
      <c r="K200" s="36" t="s">
        <v>739</v>
      </c>
      <c r="L200" s="34" t="s">
        <v>408</v>
      </c>
      <c r="M200" s="34" t="s">
        <v>420</v>
      </c>
      <c r="N200" s="34" t="s">
        <v>431</v>
      </c>
      <c r="O200" s="34" t="s">
        <v>369</v>
      </c>
      <c r="P200" s="35">
        <v>45971</v>
      </c>
      <c r="Q200" s="34" t="s">
        <v>432</v>
      </c>
      <c r="R200" s="34" t="s">
        <v>422</v>
      </c>
      <c r="S200" s="35">
        <v>45681</v>
      </c>
      <c r="T200" s="34" t="s">
        <v>740</v>
      </c>
      <c r="U200" s="34" t="s">
        <v>412</v>
      </c>
      <c r="V200" s="40" t="s">
        <v>624</v>
      </c>
      <c r="W200" s="34" t="s">
        <v>423</v>
      </c>
      <c r="X200" s="34" t="s">
        <v>424</v>
      </c>
      <c r="Y200" s="34">
        <v>241695</v>
      </c>
      <c r="Z200" s="33"/>
      <c r="AA200" s="33"/>
      <c r="AB200" s="33"/>
    </row>
    <row r="201" spans="1:28" ht="16" thickBot="1">
      <c r="A201" s="34" t="s">
        <v>607</v>
      </c>
      <c r="B201" s="34">
        <v>1</v>
      </c>
      <c r="C201" s="34" t="s">
        <v>608</v>
      </c>
      <c r="D201" s="34" t="s">
        <v>607</v>
      </c>
      <c r="E201" s="34" t="s">
        <v>415</v>
      </c>
      <c r="F201" s="34" t="s">
        <v>609</v>
      </c>
      <c r="G201" s="34" t="s">
        <v>428</v>
      </c>
      <c r="H201" s="33"/>
      <c r="I201" s="34">
        <v>7436304422</v>
      </c>
      <c r="J201" s="34" t="s">
        <v>610</v>
      </c>
      <c r="K201" s="34" t="s">
        <v>407</v>
      </c>
      <c r="L201" s="34" t="s">
        <v>408</v>
      </c>
      <c r="M201" s="34" t="s">
        <v>409</v>
      </c>
      <c r="N201" s="34" t="s">
        <v>36</v>
      </c>
      <c r="O201" s="34" t="s">
        <v>1172</v>
      </c>
      <c r="P201" s="35">
        <v>45979</v>
      </c>
      <c r="Q201" s="34" t="s">
        <v>410</v>
      </c>
      <c r="R201" s="34" t="s">
        <v>422</v>
      </c>
      <c r="S201" s="35">
        <v>45490</v>
      </c>
      <c r="T201" s="34" t="s">
        <v>612</v>
      </c>
      <c r="U201" s="34" t="s">
        <v>412</v>
      </c>
      <c r="V201" s="34" t="s">
        <v>613</v>
      </c>
      <c r="W201" s="34" t="s">
        <v>353</v>
      </c>
      <c r="X201" s="34" t="s">
        <v>340</v>
      </c>
      <c r="Y201" s="34" t="s">
        <v>642</v>
      </c>
      <c r="Z201" s="33"/>
      <c r="AA201" s="33"/>
      <c r="AB201" s="33"/>
    </row>
    <row r="202" spans="1:28" ht="16" thickBot="1">
      <c r="A202" s="34" t="s">
        <v>133</v>
      </c>
      <c r="B202" s="34">
        <v>1</v>
      </c>
      <c r="C202" s="34" t="s">
        <v>1173</v>
      </c>
      <c r="D202" s="34" t="s">
        <v>1174</v>
      </c>
      <c r="E202" s="34" t="s">
        <v>415</v>
      </c>
      <c r="F202" s="34" t="s">
        <v>1175</v>
      </c>
      <c r="G202" s="34" t="s">
        <v>417</v>
      </c>
      <c r="H202" s="33"/>
      <c r="I202" s="34">
        <v>7881877066</v>
      </c>
      <c r="J202" s="34" t="s">
        <v>259</v>
      </c>
      <c r="K202" s="34" t="s">
        <v>407</v>
      </c>
      <c r="L202" s="34" t="s">
        <v>408</v>
      </c>
      <c r="M202" s="34" t="s">
        <v>409</v>
      </c>
      <c r="N202" s="34" t="s">
        <v>13</v>
      </c>
      <c r="O202" s="34" t="s">
        <v>382</v>
      </c>
      <c r="P202" s="35">
        <v>45980</v>
      </c>
      <c r="Q202" s="34" t="s">
        <v>410</v>
      </c>
      <c r="R202" s="34" t="s">
        <v>652</v>
      </c>
      <c r="S202" s="35">
        <v>45978</v>
      </c>
      <c r="T202" s="34" t="s">
        <v>1176</v>
      </c>
      <c r="U202" s="34" t="s">
        <v>412</v>
      </c>
      <c r="V202" s="34" t="s">
        <v>1064</v>
      </c>
      <c r="W202" s="34" t="s">
        <v>353</v>
      </c>
      <c r="X202" s="34" t="s">
        <v>340</v>
      </c>
      <c r="Y202" s="34" t="s">
        <v>642</v>
      </c>
      <c r="Z202" s="33"/>
      <c r="AA202" s="33"/>
      <c r="AB202" s="33"/>
    </row>
    <row r="203" spans="1:28" ht="16" thickBot="1">
      <c r="A203" s="34" t="s">
        <v>1177</v>
      </c>
      <c r="B203" s="34">
        <v>1</v>
      </c>
      <c r="C203" s="34" t="s">
        <v>445</v>
      </c>
      <c r="D203" s="34" t="s">
        <v>1177</v>
      </c>
      <c r="E203" s="33"/>
      <c r="F203" s="33"/>
      <c r="G203" s="33"/>
      <c r="H203" s="33"/>
      <c r="I203" s="33"/>
      <c r="J203" s="33"/>
      <c r="K203" s="36" t="s">
        <v>1178</v>
      </c>
      <c r="L203" s="34" t="s">
        <v>408</v>
      </c>
      <c r="M203" s="34" t="s">
        <v>420</v>
      </c>
      <c r="N203" s="34" t="s">
        <v>431</v>
      </c>
      <c r="O203" s="34" t="s">
        <v>779</v>
      </c>
      <c r="P203" s="35">
        <v>45985</v>
      </c>
      <c r="Q203" s="34" t="s">
        <v>410</v>
      </c>
      <c r="R203" s="34" t="s">
        <v>551</v>
      </c>
      <c r="S203" s="35">
        <v>45985</v>
      </c>
      <c r="T203" s="33"/>
      <c r="U203" s="33"/>
      <c r="V203" s="33"/>
      <c r="W203" s="34" t="s">
        <v>423</v>
      </c>
      <c r="X203" s="34" t="s">
        <v>424</v>
      </c>
      <c r="Y203" s="34" t="s">
        <v>642</v>
      </c>
      <c r="Z203" s="33"/>
      <c r="AA203" s="33"/>
      <c r="AB203" s="33"/>
    </row>
    <row r="204" spans="1:28" ht="16" thickBot="1">
      <c r="A204" s="34" t="s">
        <v>1179</v>
      </c>
      <c r="B204" s="34">
        <v>1</v>
      </c>
      <c r="C204" s="34" t="s">
        <v>460</v>
      </c>
      <c r="D204" s="34" t="s">
        <v>1179</v>
      </c>
      <c r="E204" s="33"/>
      <c r="F204" s="33"/>
      <c r="G204" s="33"/>
      <c r="H204" s="33"/>
      <c r="I204" s="33"/>
      <c r="J204" s="33"/>
      <c r="K204" s="36" t="s">
        <v>1180</v>
      </c>
      <c r="L204" s="34" t="s">
        <v>408</v>
      </c>
      <c r="M204" s="34" t="s">
        <v>420</v>
      </c>
      <c r="N204" s="34" t="s">
        <v>431</v>
      </c>
      <c r="O204" s="34" t="s">
        <v>779</v>
      </c>
      <c r="P204" s="35">
        <v>45986</v>
      </c>
      <c r="Q204" s="34" t="s">
        <v>410</v>
      </c>
      <c r="R204" s="34" t="s">
        <v>551</v>
      </c>
      <c r="S204" s="35">
        <v>45986</v>
      </c>
      <c r="T204" s="33"/>
      <c r="U204" s="33"/>
      <c r="V204" s="33"/>
      <c r="W204" s="34" t="s">
        <v>423</v>
      </c>
      <c r="X204" s="34" t="s">
        <v>424</v>
      </c>
      <c r="Y204" s="34" t="s">
        <v>642</v>
      </c>
      <c r="Z204" s="33"/>
      <c r="AA204" s="33"/>
      <c r="AB204" s="33"/>
    </row>
    <row r="205" spans="1:28" ht="16" thickBot="1">
      <c r="A205" s="34" t="s">
        <v>1177</v>
      </c>
      <c r="B205" s="34">
        <v>2</v>
      </c>
      <c r="C205" s="34" t="s">
        <v>445</v>
      </c>
      <c r="D205" s="34" t="s">
        <v>1177</v>
      </c>
      <c r="E205" s="33"/>
      <c r="F205" s="33"/>
      <c r="G205" s="33"/>
      <c r="H205" s="33"/>
      <c r="I205" s="33"/>
      <c r="J205" s="33"/>
      <c r="K205" s="36" t="s">
        <v>1178</v>
      </c>
      <c r="L205" s="34" t="s">
        <v>408</v>
      </c>
      <c r="M205" s="34" t="s">
        <v>409</v>
      </c>
      <c r="N205" s="34" t="s">
        <v>13</v>
      </c>
      <c r="O205" s="34" t="s">
        <v>370</v>
      </c>
      <c r="P205" s="35">
        <v>45989</v>
      </c>
      <c r="Q205" s="34" t="s">
        <v>432</v>
      </c>
      <c r="R205" s="34" t="s">
        <v>422</v>
      </c>
      <c r="S205" s="35">
        <v>45989</v>
      </c>
      <c r="T205" s="33"/>
      <c r="U205" s="33"/>
      <c r="V205" s="33"/>
      <c r="W205" s="34" t="s">
        <v>353</v>
      </c>
      <c r="X205" s="34" t="s">
        <v>340</v>
      </c>
      <c r="Y205" s="34">
        <v>241743</v>
      </c>
      <c r="Z205" s="33"/>
      <c r="AA205" s="33"/>
      <c r="AB205" s="33"/>
    </row>
    <row r="206" spans="1:28" ht="16" thickBot="1">
      <c r="A206" s="34" t="s">
        <v>1181</v>
      </c>
      <c r="B206" s="34">
        <v>1</v>
      </c>
      <c r="C206" s="34" t="s">
        <v>695</v>
      </c>
      <c r="D206" s="34" t="s">
        <v>1181</v>
      </c>
      <c r="E206" s="34" t="s">
        <v>415</v>
      </c>
      <c r="F206" s="34" t="s">
        <v>1182</v>
      </c>
      <c r="G206" s="34" t="s">
        <v>417</v>
      </c>
      <c r="H206" s="33"/>
      <c r="I206" s="34">
        <v>7867866868</v>
      </c>
      <c r="J206" s="34" t="s">
        <v>1183</v>
      </c>
      <c r="K206" s="34" t="s">
        <v>407</v>
      </c>
      <c r="L206" s="34" t="s">
        <v>408</v>
      </c>
      <c r="M206" s="34" t="s">
        <v>409</v>
      </c>
      <c r="N206" s="34" t="s">
        <v>13</v>
      </c>
      <c r="O206" s="34" t="s">
        <v>382</v>
      </c>
      <c r="P206" s="35">
        <v>45992</v>
      </c>
      <c r="Q206" s="34" t="s">
        <v>410</v>
      </c>
      <c r="R206" s="34" t="s">
        <v>551</v>
      </c>
      <c r="S206" s="35">
        <v>45897</v>
      </c>
      <c r="T206" s="34" t="s">
        <v>1184</v>
      </c>
      <c r="U206" s="34" t="s">
        <v>412</v>
      </c>
      <c r="V206" s="34" t="s">
        <v>652</v>
      </c>
      <c r="W206" s="34" t="s">
        <v>353</v>
      </c>
      <c r="X206" s="34" t="s">
        <v>340</v>
      </c>
      <c r="Y206" s="33"/>
      <c r="Z206" s="33"/>
      <c r="AA206" s="33"/>
      <c r="AB206" s="33"/>
    </row>
    <row r="207" spans="1:28" ht="16" thickBot="1">
      <c r="A207" s="34" t="s">
        <v>1185</v>
      </c>
      <c r="B207" s="34">
        <v>1</v>
      </c>
      <c r="C207" s="34" t="s">
        <v>1186</v>
      </c>
      <c r="D207" s="34" t="s">
        <v>1185</v>
      </c>
      <c r="E207" s="33"/>
      <c r="F207" s="33"/>
      <c r="G207" s="33"/>
      <c r="H207" s="33"/>
      <c r="I207" s="33"/>
      <c r="J207" s="33"/>
      <c r="K207" s="36" t="s">
        <v>1187</v>
      </c>
      <c r="L207" s="34" t="s">
        <v>408</v>
      </c>
      <c r="M207" s="34" t="s">
        <v>409</v>
      </c>
      <c r="N207" s="34" t="s">
        <v>13</v>
      </c>
      <c r="O207" s="34" t="s">
        <v>774</v>
      </c>
      <c r="P207" s="35">
        <v>45995</v>
      </c>
      <c r="Q207" s="34" t="s">
        <v>410</v>
      </c>
      <c r="R207" s="34" t="s">
        <v>551</v>
      </c>
      <c r="S207" s="33"/>
      <c r="T207" s="33"/>
      <c r="U207" s="33"/>
      <c r="V207" s="33"/>
      <c r="W207" s="34" t="s">
        <v>353</v>
      </c>
      <c r="X207" s="34" t="s">
        <v>340</v>
      </c>
      <c r="Y207" s="34" t="s">
        <v>642</v>
      </c>
      <c r="Z207" s="33"/>
      <c r="AA207" s="33"/>
      <c r="AB207" s="33"/>
    </row>
    <row r="208" spans="1:28" ht="16" thickBot="1">
      <c r="A208" s="34" t="s">
        <v>1188</v>
      </c>
      <c r="B208" s="34">
        <v>1</v>
      </c>
      <c r="C208" s="34" t="s">
        <v>1189</v>
      </c>
      <c r="D208" s="34" t="s">
        <v>1188</v>
      </c>
      <c r="E208" s="33"/>
      <c r="F208" s="33"/>
      <c r="G208" s="33"/>
      <c r="H208" s="33"/>
      <c r="I208" s="33"/>
      <c r="J208" s="33"/>
      <c r="K208" s="34" t="s">
        <v>407</v>
      </c>
      <c r="L208" s="34" t="s">
        <v>408</v>
      </c>
      <c r="M208" s="34" t="s">
        <v>420</v>
      </c>
      <c r="N208" s="34" t="s">
        <v>1025</v>
      </c>
      <c r="O208" s="34" t="s">
        <v>1190</v>
      </c>
      <c r="P208" s="35">
        <v>45995</v>
      </c>
      <c r="Q208" s="34" t="s">
        <v>410</v>
      </c>
      <c r="R208" s="34" t="s">
        <v>652</v>
      </c>
      <c r="S208" s="35">
        <v>45965</v>
      </c>
      <c r="T208" s="34" t="s">
        <v>1191</v>
      </c>
      <c r="U208" s="34" t="s">
        <v>412</v>
      </c>
      <c r="V208" s="34" t="s">
        <v>624</v>
      </c>
      <c r="W208" s="34" t="s">
        <v>340</v>
      </c>
      <c r="X208" s="34" t="s">
        <v>340</v>
      </c>
      <c r="Y208" s="34" t="s">
        <v>642</v>
      </c>
      <c r="Z208" s="33"/>
      <c r="AA208" s="33"/>
      <c r="AB208" s="33"/>
    </row>
    <row r="209" spans="1:28" ht="16" thickBot="1">
      <c r="A209" s="34" t="s">
        <v>1192</v>
      </c>
      <c r="B209" s="34">
        <v>1</v>
      </c>
      <c r="C209" s="34" t="s">
        <v>500</v>
      </c>
      <c r="D209" s="34" t="s">
        <v>1192</v>
      </c>
      <c r="E209" s="33"/>
      <c r="F209" s="33"/>
      <c r="G209" s="33"/>
      <c r="H209" s="33"/>
      <c r="I209" s="33"/>
      <c r="J209" s="33"/>
      <c r="K209" s="36" t="s">
        <v>1193</v>
      </c>
      <c r="L209" s="34" t="s">
        <v>408</v>
      </c>
      <c r="M209" s="34" t="s">
        <v>409</v>
      </c>
      <c r="N209" s="34" t="s">
        <v>13</v>
      </c>
      <c r="O209" s="34" t="s">
        <v>382</v>
      </c>
      <c r="P209" s="35">
        <v>46008</v>
      </c>
      <c r="Q209" s="34" t="s">
        <v>410</v>
      </c>
      <c r="R209" s="34" t="s">
        <v>652</v>
      </c>
      <c r="S209" s="35">
        <v>46007</v>
      </c>
      <c r="T209" s="34" t="s">
        <v>1194</v>
      </c>
      <c r="U209" s="34" t="s">
        <v>412</v>
      </c>
      <c r="V209" s="34" t="s">
        <v>1195</v>
      </c>
      <c r="W209" s="34" t="s">
        <v>353</v>
      </c>
      <c r="X209" s="34" t="s">
        <v>340</v>
      </c>
      <c r="Y209" s="34" t="s">
        <v>642</v>
      </c>
      <c r="Z209" s="33"/>
      <c r="AA209" s="33"/>
      <c r="AB209" s="33"/>
    </row>
    <row r="210" spans="1:28" ht="16" thickBot="1">
      <c r="A210" s="34" t="s">
        <v>1170</v>
      </c>
      <c r="B210" s="34">
        <v>2</v>
      </c>
      <c r="C210" s="34" t="s">
        <v>958</v>
      </c>
      <c r="D210" s="34" t="s">
        <v>1170</v>
      </c>
      <c r="E210" s="33"/>
      <c r="F210" s="33"/>
      <c r="G210" s="33"/>
      <c r="H210" s="33"/>
      <c r="I210" s="33"/>
      <c r="J210" s="33"/>
      <c r="K210" s="36" t="s">
        <v>1171</v>
      </c>
      <c r="L210" s="34" t="s">
        <v>408</v>
      </c>
      <c r="M210" s="34" t="s">
        <v>420</v>
      </c>
      <c r="N210" s="34" t="s">
        <v>431</v>
      </c>
      <c r="O210" s="34" t="s">
        <v>559</v>
      </c>
      <c r="P210" s="35">
        <v>46031</v>
      </c>
      <c r="Q210" s="34" t="s">
        <v>432</v>
      </c>
      <c r="R210" s="34" t="s">
        <v>551</v>
      </c>
      <c r="S210" s="33"/>
      <c r="T210" s="33"/>
      <c r="U210" s="33"/>
      <c r="V210" s="33"/>
      <c r="W210" s="34" t="s">
        <v>423</v>
      </c>
      <c r="X210" s="34" t="s">
        <v>424</v>
      </c>
      <c r="Y210" s="34" t="s">
        <v>642</v>
      </c>
      <c r="Z210" s="33"/>
      <c r="AA210" s="33"/>
      <c r="AB210" s="33"/>
    </row>
    <row r="211" spans="1:28" ht="16" thickBot="1">
      <c r="A211" s="34" t="s">
        <v>1170</v>
      </c>
      <c r="B211" s="34">
        <v>3</v>
      </c>
      <c r="C211" s="34" t="s">
        <v>958</v>
      </c>
      <c r="D211" s="34" t="s">
        <v>1170</v>
      </c>
      <c r="E211" s="33"/>
      <c r="F211" s="33"/>
      <c r="G211" s="33"/>
      <c r="H211" s="33"/>
      <c r="I211" s="33"/>
      <c r="J211" s="33"/>
      <c r="K211" s="36" t="s">
        <v>1171</v>
      </c>
      <c r="L211" s="34" t="s">
        <v>408</v>
      </c>
      <c r="M211" s="34" t="s">
        <v>420</v>
      </c>
      <c r="N211" s="34" t="s">
        <v>1025</v>
      </c>
      <c r="O211" s="34" t="s">
        <v>370</v>
      </c>
      <c r="P211" s="35">
        <v>46031</v>
      </c>
      <c r="Q211" s="34" t="s">
        <v>432</v>
      </c>
      <c r="R211" s="34" t="s">
        <v>551</v>
      </c>
      <c r="S211" s="33"/>
      <c r="T211" s="33"/>
      <c r="U211" s="33"/>
      <c r="V211" s="33"/>
      <c r="W211" s="34" t="s">
        <v>340</v>
      </c>
      <c r="X211" s="34" t="s">
        <v>340</v>
      </c>
      <c r="Y211" s="34" t="s">
        <v>642</v>
      </c>
      <c r="Z211" s="33"/>
      <c r="AA211" s="33"/>
      <c r="AB211" s="33"/>
    </row>
    <row r="212" spans="1:28" ht="16" thickBot="1">
      <c r="A212" s="34" t="s">
        <v>135</v>
      </c>
      <c r="B212" s="34">
        <v>1</v>
      </c>
      <c r="C212" s="34" t="s">
        <v>736</v>
      </c>
      <c r="D212" s="34" t="s">
        <v>1196</v>
      </c>
      <c r="E212" s="33"/>
      <c r="F212" s="34" t="s">
        <v>1197</v>
      </c>
      <c r="G212" s="34" t="s">
        <v>428</v>
      </c>
      <c r="H212" s="33"/>
      <c r="I212" s="34">
        <v>7776120060</v>
      </c>
      <c r="J212" s="34" t="s">
        <v>1198</v>
      </c>
      <c r="K212" s="36" t="s">
        <v>1199</v>
      </c>
      <c r="L212" s="34" t="s">
        <v>408</v>
      </c>
      <c r="M212" s="34" t="s">
        <v>409</v>
      </c>
      <c r="N212" s="34" t="s">
        <v>13</v>
      </c>
      <c r="O212" s="34" t="s">
        <v>1200</v>
      </c>
      <c r="P212" s="35">
        <v>46032</v>
      </c>
      <c r="Q212" s="34" t="s">
        <v>410</v>
      </c>
      <c r="R212" s="34" t="s">
        <v>551</v>
      </c>
      <c r="S212" s="35">
        <v>45947</v>
      </c>
      <c r="T212" s="34" t="s">
        <v>1201</v>
      </c>
      <c r="U212" s="34" t="s">
        <v>412</v>
      </c>
      <c r="V212" s="34" t="s">
        <v>762</v>
      </c>
      <c r="W212" s="34" t="s">
        <v>353</v>
      </c>
      <c r="X212" s="34" t="s">
        <v>340</v>
      </c>
      <c r="Y212" s="34" t="s">
        <v>642</v>
      </c>
      <c r="Z212" s="33"/>
      <c r="AA212" s="33"/>
      <c r="AB212" s="33"/>
    </row>
    <row r="213" spans="1:28" ht="16" thickBot="1">
      <c r="A213" s="34" t="s">
        <v>1202</v>
      </c>
      <c r="B213" s="34">
        <v>1</v>
      </c>
      <c r="C213" s="34" t="s">
        <v>414</v>
      </c>
      <c r="D213" s="34" t="s">
        <v>1202</v>
      </c>
      <c r="E213" s="33"/>
      <c r="F213" s="33"/>
      <c r="G213" s="33"/>
      <c r="H213" s="33"/>
      <c r="I213" s="33"/>
      <c r="J213" s="33"/>
      <c r="K213" s="36" t="s">
        <v>1203</v>
      </c>
      <c r="L213" s="34" t="s">
        <v>408</v>
      </c>
      <c r="M213" s="34" t="s">
        <v>409</v>
      </c>
      <c r="N213" s="34" t="s">
        <v>13</v>
      </c>
      <c r="O213" s="34" t="s">
        <v>605</v>
      </c>
      <c r="P213" s="35">
        <v>46038</v>
      </c>
      <c r="Q213" s="34" t="s">
        <v>410</v>
      </c>
      <c r="R213" s="34" t="s">
        <v>551</v>
      </c>
      <c r="S213" s="33"/>
      <c r="T213" s="33"/>
      <c r="U213" s="33"/>
      <c r="V213" s="33"/>
      <c r="W213" s="34" t="s">
        <v>353</v>
      </c>
      <c r="X213" s="34" t="s">
        <v>340</v>
      </c>
      <c r="Y213" s="34" t="s">
        <v>642</v>
      </c>
      <c r="Z213" s="33"/>
      <c r="AA213" s="33"/>
      <c r="AB213" s="33"/>
    </row>
    <row r="214" spans="1:28" ht="16" thickBot="1">
      <c r="A214" s="34" t="s">
        <v>464</v>
      </c>
      <c r="B214" s="34">
        <v>23</v>
      </c>
      <c r="C214" s="34" t="s">
        <v>465</v>
      </c>
      <c r="D214" s="34" t="s">
        <v>371</v>
      </c>
      <c r="E214" s="34" t="s">
        <v>415</v>
      </c>
      <c r="F214" s="34" t="s">
        <v>554</v>
      </c>
      <c r="G214" s="34" t="s">
        <v>428</v>
      </c>
      <c r="H214" s="34">
        <v>1327703841</v>
      </c>
      <c r="I214" s="33"/>
      <c r="J214" s="33"/>
      <c r="K214" s="36" t="s">
        <v>1204</v>
      </c>
      <c r="L214" s="34" t="s">
        <v>408</v>
      </c>
      <c r="M214" s="34" t="s">
        <v>409</v>
      </c>
      <c r="N214" s="34" t="s">
        <v>19</v>
      </c>
      <c r="O214" s="34" t="s">
        <v>382</v>
      </c>
      <c r="P214" s="35">
        <v>46042</v>
      </c>
      <c r="Q214" s="34" t="s">
        <v>410</v>
      </c>
      <c r="R214" s="34" t="s">
        <v>422</v>
      </c>
      <c r="S214" s="33"/>
      <c r="T214" s="33"/>
      <c r="U214" s="33"/>
      <c r="V214" s="33"/>
      <c r="W214" s="34" t="s">
        <v>353</v>
      </c>
      <c r="X214" s="34" t="s">
        <v>340</v>
      </c>
      <c r="Y214" s="34" t="s">
        <v>642</v>
      </c>
      <c r="Z214" s="33"/>
      <c r="AA214" s="33"/>
      <c r="AB214" s="33"/>
    </row>
    <row r="215" spans="1:28" ht="16" thickBot="1">
      <c r="A215" s="34" t="s">
        <v>1205</v>
      </c>
      <c r="B215" s="34">
        <v>1</v>
      </c>
      <c r="C215" s="34" t="s">
        <v>500</v>
      </c>
      <c r="D215" s="34" t="s">
        <v>1206</v>
      </c>
      <c r="E215" s="33"/>
      <c r="F215" s="33"/>
      <c r="G215" s="33"/>
      <c r="H215" s="33"/>
      <c r="I215" s="33"/>
      <c r="J215" s="33"/>
      <c r="K215" s="34" t="s">
        <v>407</v>
      </c>
      <c r="L215" s="34" t="s">
        <v>408</v>
      </c>
      <c r="M215" s="34" t="s">
        <v>420</v>
      </c>
      <c r="N215" s="34" t="s">
        <v>1025</v>
      </c>
      <c r="O215" s="34" t="s">
        <v>559</v>
      </c>
      <c r="P215" s="35">
        <v>46043</v>
      </c>
      <c r="Q215" s="34" t="s">
        <v>410</v>
      </c>
      <c r="R215" s="34" t="s">
        <v>652</v>
      </c>
      <c r="S215" s="35">
        <v>45925</v>
      </c>
      <c r="T215" s="34" t="s">
        <v>1207</v>
      </c>
      <c r="U215" s="34" t="s">
        <v>412</v>
      </c>
      <c r="V215" s="34" t="s">
        <v>1009</v>
      </c>
      <c r="W215" s="34" t="s">
        <v>340</v>
      </c>
      <c r="X215" s="34" t="s">
        <v>340</v>
      </c>
      <c r="Y215" s="34" t="s">
        <v>642</v>
      </c>
      <c r="Z215" s="33"/>
      <c r="AA215" s="33"/>
      <c r="AB215" s="33"/>
    </row>
    <row r="216" spans="1:28" ht="16" thickBot="1">
      <c r="A216" s="34" t="s">
        <v>1205</v>
      </c>
      <c r="B216" s="34">
        <v>2</v>
      </c>
      <c r="C216" s="34" t="s">
        <v>500</v>
      </c>
      <c r="D216" s="34" t="s">
        <v>1208</v>
      </c>
      <c r="E216" s="33"/>
      <c r="F216" s="33"/>
      <c r="G216" s="33"/>
      <c r="H216" s="33"/>
      <c r="I216" s="33"/>
      <c r="J216" s="33"/>
      <c r="K216" s="34" t="s">
        <v>407</v>
      </c>
      <c r="L216" s="34" t="s">
        <v>408</v>
      </c>
      <c r="M216" s="34" t="s">
        <v>420</v>
      </c>
      <c r="N216" s="34" t="s">
        <v>1025</v>
      </c>
      <c r="O216" s="34" t="s">
        <v>559</v>
      </c>
      <c r="P216" s="35">
        <v>46043</v>
      </c>
      <c r="Q216" s="34" t="s">
        <v>410</v>
      </c>
      <c r="R216" s="34" t="s">
        <v>652</v>
      </c>
      <c r="S216" s="35">
        <v>45925</v>
      </c>
      <c r="T216" s="34" t="s">
        <v>1207</v>
      </c>
      <c r="U216" s="34" t="s">
        <v>412</v>
      </c>
      <c r="V216" s="34" t="s">
        <v>1009</v>
      </c>
      <c r="W216" s="34" t="s">
        <v>340</v>
      </c>
      <c r="X216" s="34" t="s">
        <v>340</v>
      </c>
      <c r="Y216" s="34" t="s">
        <v>642</v>
      </c>
      <c r="Z216" s="33"/>
      <c r="AA216" s="33"/>
      <c r="AB216" s="33"/>
    </row>
    <row r="217" spans="1:28" ht="16" thickBot="1">
      <c r="A217" s="34" t="s">
        <v>1205</v>
      </c>
      <c r="B217" s="34">
        <v>4</v>
      </c>
      <c r="C217" s="34" t="s">
        <v>500</v>
      </c>
      <c r="D217" s="34" t="s">
        <v>1209</v>
      </c>
      <c r="E217" s="33"/>
      <c r="F217" s="33"/>
      <c r="G217" s="33"/>
      <c r="H217" s="33"/>
      <c r="I217" s="33"/>
      <c r="J217" s="33"/>
      <c r="K217" s="34" t="s">
        <v>407</v>
      </c>
      <c r="L217" s="34" t="s">
        <v>408</v>
      </c>
      <c r="M217" s="34" t="s">
        <v>420</v>
      </c>
      <c r="N217" s="34" t="s">
        <v>1025</v>
      </c>
      <c r="O217" s="34" t="s">
        <v>559</v>
      </c>
      <c r="P217" s="35">
        <v>46043</v>
      </c>
      <c r="Q217" s="34" t="s">
        <v>410</v>
      </c>
      <c r="R217" s="34" t="s">
        <v>652</v>
      </c>
      <c r="S217" s="35">
        <v>45925</v>
      </c>
      <c r="T217" s="34" t="s">
        <v>1207</v>
      </c>
      <c r="U217" s="34" t="s">
        <v>412</v>
      </c>
      <c r="V217" s="34" t="s">
        <v>1009</v>
      </c>
      <c r="W217" s="34" t="s">
        <v>340</v>
      </c>
      <c r="X217" s="34" t="s">
        <v>340</v>
      </c>
      <c r="Y217" s="34" t="s">
        <v>642</v>
      </c>
      <c r="Z217" s="33"/>
      <c r="AA217" s="33"/>
      <c r="AB217" s="33"/>
    </row>
    <row r="218" spans="1:28" ht="16" thickBot="1">
      <c r="A218" s="34" t="s">
        <v>464</v>
      </c>
      <c r="B218" s="34">
        <v>24</v>
      </c>
      <c r="C218" s="34" t="s">
        <v>500</v>
      </c>
      <c r="D218" s="34" t="s">
        <v>1210</v>
      </c>
      <c r="E218" s="34" t="s">
        <v>415</v>
      </c>
      <c r="F218" s="34" t="s">
        <v>634</v>
      </c>
      <c r="G218" s="34" t="s">
        <v>428</v>
      </c>
      <c r="H218" s="33"/>
      <c r="I218" s="33"/>
      <c r="J218" s="34" t="s">
        <v>635</v>
      </c>
      <c r="K218" s="36" t="s">
        <v>945</v>
      </c>
      <c r="L218" s="34" t="s">
        <v>408</v>
      </c>
      <c r="M218" s="34" t="s">
        <v>638</v>
      </c>
      <c r="N218" s="34" t="s">
        <v>285</v>
      </c>
      <c r="O218" s="34" t="s">
        <v>1211</v>
      </c>
      <c r="P218" s="35">
        <v>46045</v>
      </c>
      <c r="Q218" s="34" t="s">
        <v>432</v>
      </c>
      <c r="R218" s="34" t="s">
        <v>422</v>
      </c>
      <c r="S218" s="33"/>
      <c r="T218" s="33"/>
      <c r="U218" s="33"/>
      <c r="V218" s="33"/>
      <c r="W218" s="34" t="s">
        <v>641</v>
      </c>
      <c r="X218" s="34" t="s">
        <v>424</v>
      </c>
      <c r="Y218" s="34" t="s">
        <v>642</v>
      </c>
      <c r="Z218" s="33"/>
      <c r="AA218" s="33"/>
      <c r="AB218" s="33"/>
    </row>
    <row r="219" spans="1:28" ht="16" thickBot="1">
      <c r="A219" s="34" t="s">
        <v>464</v>
      </c>
      <c r="B219" s="34">
        <v>22</v>
      </c>
      <c r="C219" s="34" t="s">
        <v>465</v>
      </c>
      <c r="D219" s="34" t="s">
        <v>1212</v>
      </c>
      <c r="E219" s="34" t="s">
        <v>415</v>
      </c>
      <c r="F219" s="34" t="s">
        <v>554</v>
      </c>
      <c r="G219" s="34" t="s">
        <v>428</v>
      </c>
      <c r="H219" s="34">
        <v>1327703841</v>
      </c>
      <c r="I219" s="33"/>
      <c r="J219" s="34" t="s">
        <v>555</v>
      </c>
      <c r="K219" s="36" t="s">
        <v>844</v>
      </c>
      <c r="L219" s="34" t="s">
        <v>408</v>
      </c>
      <c r="M219" s="34" t="s">
        <v>420</v>
      </c>
      <c r="N219" s="34" t="s">
        <v>431</v>
      </c>
      <c r="O219" s="34" t="s">
        <v>559</v>
      </c>
      <c r="P219" s="35">
        <v>46054</v>
      </c>
      <c r="Q219" s="34" t="s">
        <v>432</v>
      </c>
      <c r="R219" s="34" t="s">
        <v>422</v>
      </c>
      <c r="S219" s="35">
        <v>45734</v>
      </c>
      <c r="T219" s="34" t="s">
        <v>846</v>
      </c>
      <c r="U219" s="34" t="s">
        <v>558</v>
      </c>
      <c r="V219" s="34" t="s">
        <v>422</v>
      </c>
      <c r="W219" s="34" t="s">
        <v>423</v>
      </c>
      <c r="X219" s="82" t="s">
        <v>424</v>
      </c>
      <c r="Y219" s="83"/>
      <c r="Z219" s="33"/>
      <c r="AA219" s="33"/>
      <c r="AB219" s="33"/>
    </row>
    <row r="220" spans="1:28" ht="16" thickBot="1">
      <c r="A220" s="34" t="s">
        <v>1213</v>
      </c>
      <c r="B220" s="34">
        <v>1</v>
      </c>
      <c r="C220" s="34" t="s">
        <v>477</v>
      </c>
      <c r="D220" s="34" t="s">
        <v>1213</v>
      </c>
      <c r="E220" s="33"/>
      <c r="F220" s="33"/>
      <c r="G220" s="33"/>
      <c r="H220" s="33"/>
      <c r="I220" s="33"/>
      <c r="J220" s="33"/>
      <c r="K220" s="36" t="s">
        <v>1214</v>
      </c>
      <c r="L220" s="34" t="s">
        <v>408</v>
      </c>
      <c r="M220" s="34" t="s">
        <v>420</v>
      </c>
      <c r="N220" s="34" t="s">
        <v>1025</v>
      </c>
      <c r="O220" s="34" t="s">
        <v>352</v>
      </c>
      <c r="P220" s="35">
        <v>46055</v>
      </c>
      <c r="Q220" s="34" t="s">
        <v>410</v>
      </c>
      <c r="R220" s="34" t="s">
        <v>551</v>
      </c>
      <c r="S220" s="33"/>
      <c r="T220" s="33"/>
      <c r="U220" s="33"/>
      <c r="V220" s="33"/>
      <c r="W220" s="34" t="s">
        <v>340</v>
      </c>
      <c r="X220" s="34" t="s">
        <v>340</v>
      </c>
      <c r="Y220" s="34" t="s">
        <v>642</v>
      </c>
      <c r="Z220" s="33"/>
      <c r="AA220" s="33"/>
      <c r="AB220" s="33"/>
    </row>
    <row r="221" spans="1:28" ht="16" thickBot="1">
      <c r="A221" s="34" t="s">
        <v>1215</v>
      </c>
      <c r="B221" s="34">
        <v>1</v>
      </c>
      <c r="C221" s="34" t="s">
        <v>450</v>
      </c>
      <c r="D221" s="34" t="s">
        <v>1215</v>
      </c>
      <c r="E221" s="33"/>
      <c r="F221" s="33"/>
      <c r="G221" s="33"/>
      <c r="H221" s="33"/>
      <c r="I221" s="33"/>
      <c r="J221" s="33"/>
      <c r="K221" s="34" t="s">
        <v>407</v>
      </c>
      <c r="L221" s="34" t="s">
        <v>408</v>
      </c>
      <c r="M221" s="34" t="s">
        <v>420</v>
      </c>
      <c r="N221" s="34" t="s">
        <v>937</v>
      </c>
      <c r="O221" s="34" t="s">
        <v>370</v>
      </c>
      <c r="P221" s="35">
        <v>46057</v>
      </c>
      <c r="Q221" s="34" t="s">
        <v>410</v>
      </c>
      <c r="R221" s="34" t="s">
        <v>652</v>
      </c>
      <c r="S221" s="35">
        <v>46048</v>
      </c>
      <c r="T221" s="34" t="s">
        <v>1216</v>
      </c>
      <c r="U221" s="34" t="s">
        <v>412</v>
      </c>
      <c r="V221" s="34" t="s">
        <v>1217</v>
      </c>
      <c r="W221" s="34" t="s">
        <v>423</v>
      </c>
      <c r="X221" s="34" t="s">
        <v>424</v>
      </c>
      <c r="Y221" s="34" t="s">
        <v>642</v>
      </c>
      <c r="Z221" s="33"/>
      <c r="AA221" s="33"/>
      <c r="AB221" s="33"/>
    </row>
    <row r="222" spans="1:28" ht="16" thickBot="1">
      <c r="A222" s="34" t="s">
        <v>1218</v>
      </c>
      <c r="B222" s="34">
        <v>1</v>
      </c>
      <c r="C222" s="34" t="s">
        <v>460</v>
      </c>
      <c r="D222" s="34" t="s">
        <v>1218</v>
      </c>
      <c r="E222" s="33"/>
      <c r="F222" s="33"/>
      <c r="G222" s="33"/>
      <c r="H222" s="33"/>
      <c r="I222" s="33"/>
      <c r="J222" s="33"/>
      <c r="K222" s="36" t="s">
        <v>1219</v>
      </c>
      <c r="L222" s="34" t="s">
        <v>408</v>
      </c>
      <c r="M222" s="34" t="s">
        <v>420</v>
      </c>
      <c r="N222" s="34" t="s">
        <v>1025</v>
      </c>
      <c r="O222" s="34" t="s">
        <v>369</v>
      </c>
      <c r="P222" s="35">
        <v>46057</v>
      </c>
      <c r="Q222" s="34" t="s">
        <v>410</v>
      </c>
      <c r="R222" s="34" t="s">
        <v>551</v>
      </c>
      <c r="S222" s="33"/>
      <c r="T222" s="33"/>
      <c r="U222" s="33"/>
      <c r="V222" s="33"/>
      <c r="W222" s="34" t="s">
        <v>340</v>
      </c>
      <c r="X222" s="34" t="s">
        <v>340</v>
      </c>
      <c r="Y222" s="34" t="s">
        <v>642</v>
      </c>
      <c r="Z222" s="33"/>
      <c r="AA222" s="33"/>
      <c r="AB222" s="33"/>
    </row>
    <row r="223" spans="1:28" ht="16" thickBot="1">
      <c r="A223" s="34" t="s">
        <v>464</v>
      </c>
      <c r="B223" s="34">
        <v>26</v>
      </c>
      <c r="C223" s="34" t="s">
        <v>465</v>
      </c>
      <c r="D223" s="34" t="s">
        <v>1212</v>
      </c>
      <c r="E223" s="34" t="s">
        <v>415</v>
      </c>
      <c r="F223" s="34" t="s">
        <v>554</v>
      </c>
      <c r="G223" s="34" t="s">
        <v>428</v>
      </c>
      <c r="H223" s="34">
        <v>1327703841</v>
      </c>
      <c r="I223" s="33"/>
      <c r="J223" s="34" t="s">
        <v>555</v>
      </c>
      <c r="K223" s="36" t="s">
        <v>844</v>
      </c>
      <c r="L223" s="34" t="s">
        <v>408</v>
      </c>
      <c r="M223" s="34" t="s">
        <v>420</v>
      </c>
      <c r="N223" s="34" t="s">
        <v>431</v>
      </c>
      <c r="O223" s="34" t="s">
        <v>559</v>
      </c>
      <c r="P223" s="35">
        <v>46058</v>
      </c>
      <c r="Q223" s="34" t="s">
        <v>410</v>
      </c>
      <c r="R223" s="34" t="s">
        <v>422</v>
      </c>
      <c r="S223" s="35">
        <v>45734</v>
      </c>
      <c r="T223" s="34" t="s">
        <v>846</v>
      </c>
      <c r="U223" s="34" t="s">
        <v>558</v>
      </c>
      <c r="V223" s="34" t="s">
        <v>422</v>
      </c>
      <c r="W223" s="34" t="s">
        <v>423</v>
      </c>
      <c r="X223" s="34" t="s">
        <v>424</v>
      </c>
      <c r="Y223" s="34" t="s">
        <v>642</v>
      </c>
      <c r="Z223" s="33"/>
      <c r="AA223" s="33"/>
      <c r="AB223" s="33"/>
    </row>
    <row r="224" spans="1:28" ht="16" thickBot="1">
      <c r="A224" s="34" t="s">
        <v>444</v>
      </c>
      <c r="B224" s="34">
        <v>4</v>
      </c>
      <c r="C224" s="34" t="s">
        <v>445</v>
      </c>
      <c r="D224" s="34" t="s">
        <v>444</v>
      </c>
      <c r="E224" s="34" t="s">
        <v>415</v>
      </c>
      <c r="F224" s="34" t="s">
        <v>446</v>
      </c>
      <c r="G224" s="34" t="s">
        <v>428</v>
      </c>
      <c r="H224" s="34">
        <v>1494484333</v>
      </c>
      <c r="I224" s="34">
        <v>7971863682</v>
      </c>
      <c r="J224" s="34" t="s">
        <v>447</v>
      </c>
      <c r="K224" s="36" t="s">
        <v>448</v>
      </c>
      <c r="L224" s="34" t="s">
        <v>408</v>
      </c>
      <c r="M224" s="34" t="s">
        <v>409</v>
      </c>
      <c r="N224" s="34" t="s">
        <v>1220</v>
      </c>
      <c r="O224" s="34" t="s">
        <v>369</v>
      </c>
      <c r="P224" s="35">
        <v>46062</v>
      </c>
      <c r="Q224" s="34" t="s">
        <v>432</v>
      </c>
      <c r="R224" s="34" t="s">
        <v>422</v>
      </c>
      <c r="S224" s="35">
        <v>45069</v>
      </c>
      <c r="T224" s="34">
        <v>205</v>
      </c>
      <c r="U224" s="34" t="s">
        <v>412</v>
      </c>
      <c r="V224" s="34" t="s">
        <v>411</v>
      </c>
      <c r="W224" s="34" t="s">
        <v>353</v>
      </c>
      <c r="X224" s="34" t="s">
        <v>340</v>
      </c>
      <c r="Y224" s="34" t="s">
        <v>642</v>
      </c>
      <c r="Z224" s="33"/>
      <c r="AA224" s="33"/>
      <c r="AB224" s="33"/>
    </row>
    <row r="225" spans="1:28" ht="16" thickBot="1">
      <c r="A225" s="34" t="s">
        <v>1221</v>
      </c>
      <c r="B225" s="34">
        <v>1</v>
      </c>
      <c r="C225" s="34" t="s">
        <v>683</v>
      </c>
      <c r="D225" s="34" t="s">
        <v>1221</v>
      </c>
      <c r="E225" s="34" t="s">
        <v>415</v>
      </c>
      <c r="F225" s="37" t="s">
        <v>1222</v>
      </c>
      <c r="G225" s="34" t="s">
        <v>417</v>
      </c>
      <c r="H225" s="33"/>
      <c r="I225" s="34">
        <v>7774867269</v>
      </c>
      <c r="J225" s="34" t="s">
        <v>1223</v>
      </c>
      <c r="K225" s="34" t="s">
        <v>407</v>
      </c>
      <c r="L225" s="34" t="s">
        <v>408</v>
      </c>
      <c r="M225" s="34" t="s">
        <v>409</v>
      </c>
      <c r="N225" s="34" t="s">
        <v>13</v>
      </c>
      <c r="O225" s="34" t="s">
        <v>352</v>
      </c>
      <c r="P225" s="35">
        <v>46062</v>
      </c>
      <c r="Q225" s="34" t="s">
        <v>410</v>
      </c>
      <c r="R225" s="34" t="s">
        <v>652</v>
      </c>
      <c r="S225" s="35">
        <v>45821</v>
      </c>
      <c r="T225" s="34" t="s">
        <v>1224</v>
      </c>
      <c r="U225" s="34" t="s">
        <v>412</v>
      </c>
      <c r="V225" s="34" t="s">
        <v>652</v>
      </c>
      <c r="W225" s="34" t="s">
        <v>353</v>
      </c>
      <c r="X225" s="34" t="s">
        <v>340</v>
      </c>
      <c r="Y225" s="34" t="s">
        <v>642</v>
      </c>
      <c r="Z225" s="33"/>
      <c r="AA225" s="33"/>
      <c r="AB225" s="33"/>
    </row>
    <row r="226" spans="1:28" ht="16" thickBot="1">
      <c r="A226" s="34" t="s">
        <v>1205</v>
      </c>
      <c r="B226" s="34">
        <v>3</v>
      </c>
      <c r="C226" s="34" t="s">
        <v>500</v>
      </c>
      <c r="D226" s="34" t="s">
        <v>1225</v>
      </c>
      <c r="E226" s="34" t="s">
        <v>415</v>
      </c>
      <c r="F226" s="34" t="s">
        <v>1226</v>
      </c>
      <c r="G226" s="33"/>
      <c r="H226" s="33"/>
      <c r="I226" s="34">
        <v>7903053997</v>
      </c>
      <c r="J226" s="34" t="s">
        <v>1227</v>
      </c>
      <c r="K226" s="34" t="s">
        <v>407</v>
      </c>
      <c r="L226" s="34" t="s">
        <v>408</v>
      </c>
      <c r="M226" s="34" t="s">
        <v>420</v>
      </c>
      <c r="N226" s="34" t="s">
        <v>1025</v>
      </c>
      <c r="O226" s="34" t="s">
        <v>559</v>
      </c>
      <c r="P226" s="35">
        <v>46063</v>
      </c>
      <c r="Q226" s="34" t="s">
        <v>410</v>
      </c>
      <c r="R226" s="34" t="s">
        <v>652</v>
      </c>
      <c r="S226" s="35">
        <v>45925</v>
      </c>
      <c r="T226" s="34" t="s">
        <v>1207</v>
      </c>
      <c r="U226" s="34" t="s">
        <v>412</v>
      </c>
      <c r="V226" s="34" t="s">
        <v>1009</v>
      </c>
      <c r="W226" s="34" t="s">
        <v>340</v>
      </c>
      <c r="X226" s="34" t="s">
        <v>340</v>
      </c>
      <c r="Y226" s="34" t="s">
        <v>642</v>
      </c>
      <c r="Z226" s="33"/>
      <c r="AA226" s="33"/>
      <c r="AB226" s="33"/>
    </row>
    <row r="227" spans="1:28" ht="16" thickBot="1">
      <c r="A227" s="34" t="s">
        <v>1228</v>
      </c>
      <c r="B227" s="34">
        <v>1</v>
      </c>
      <c r="C227" s="34" t="s">
        <v>608</v>
      </c>
      <c r="D227" s="34" t="s">
        <v>1229</v>
      </c>
      <c r="E227" s="34" t="s">
        <v>415</v>
      </c>
      <c r="F227" s="34" t="s">
        <v>1230</v>
      </c>
      <c r="G227" s="34" t="s">
        <v>428</v>
      </c>
      <c r="H227" s="34">
        <v>1536800010</v>
      </c>
      <c r="I227" s="34">
        <v>7577471886</v>
      </c>
      <c r="J227" s="34" t="s">
        <v>243</v>
      </c>
      <c r="K227" s="36" t="s">
        <v>1231</v>
      </c>
      <c r="L227" s="34" t="s">
        <v>408</v>
      </c>
      <c r="M227" s="34" t="s">
        <v>409</v>
      </c>
      <c r="N227" s="34" t="s">
        <v>13</v>
      </c>
      <c r="O227" s="34" t="s">
        <v>354</v>
      </c>
      <c r="P227" s="35">
        <v>46065</v>
      </c>
      <c r="Q227" s="34" t="s">
        <v>410</v>
      </c>
      <c r="R227" s="34" t="s">
        <v>652</v>
      </c>
      <c r="S227" s="35">
        <v>46000</v>
      </c>
      <c r="T227" s="34" t="s">
        <v>1232</v>
      </c>
      <c r="U227" s="34" t="s">
        <v>412</v>
      </c>
      <c r="V227" s="34" t="s">
        <v>1233</v>
      </c>
      <c r="W227" s="34" t="s">
        <v>353</v>
      </c>
      <c r="X227" s="34" t="s">
        <v>340</v>
      </c>
      <c r="Y227" s="34" t="s">
        <v>642</v>
      </c>
      <c r="Z227" s="33"/>
      <c r="AA227" s="33"/>
      <c r="AB227" s="33"/>
    </row>
    <row r="228" spans="1:28" ht="16" thickBot="1">
      <c r="A228" s="34" t="s">
        <v>1234</v>
      </c>
      <c r="B228" s="34">
        <v>1</v>
      </c>
      <c r="C228" s="34" t="s">
        <v>460</v>
      </c>
      <c r="D228" s="34" t="s">
        <v>1234</v>
      </c>
      <c r="E228" s="34" t="s">
        <v>415</v>
      </c>
      <c r="F228" s="37" t="s">
        <v>1235</v>
      </c>
      <c r="G228" s="34" t="s">
        <v>428</v>
      </c>
      <c r="H228" s="33"/>
      <c r="I228" s="37">
        <v>7500406671</v>
      </c>
      <c r="J228" s="37" t="s">
        <v>1236</v>
      </c>
      <c r="K228" s="36" t="s">
        <v>1237</v>
      </c>
      <c r="L228" s="34" t="s">
        <v>408</v>
      </c>
      <c r="M228" s="34" t="s">
        <v>420</v>
      </c>
      <c r="N228" s="34" t="s">
        <v>1025</v>
      </c>
      <c r="O228" s="34" t="s">
        <v>369</v>
      </c>
      <c r="P228" s="35">
        <v>46065</v>
      </c>
      <c r="Q228" s="34" t="s">
        <v>410</v>
      </c>
      <c r="R228" s="34" t="s">
        <v>422</v>
      </c>
      <c r="S228" s="34" t="s">
        <v>1238</v>
      </c>
      <c r="T228" s="34" t="s">
        <v>1239</v>
      </c>
      <c r="U228" s="34" t="s">
        <v>412</v>
      </c>
      <c r="V228" s="34" t="s">
        <v>422</v>
      </c>
      <c r="W228" s="34" t="s">
        <v>340</v>
      </c>
      <c r="X228" s="34" t="s">
        <v>340</v>
      </c>
      <c r="Y228" s="34" t="s">
        <v>642</v>
      </c>
      <c r="Z228" s="33"/>
      <c r="AA228" s="33"/>
      <c r="AB228" s="33"/>
    </row>
    <row r="229" spans="1:28" ht="16" thickBot="1">
      <c r="A229" s="34" t="s">
        <v>43</v>
      </c>
      <c r="B229" s="34">
        <v>1</v>
      </c>
      <c r="C229" s="34" t="s">
        <v>426</v>
      </c>
      <c r="D229" s="34" t="s">
        <v>43</v>
      </c>
      <c r="E229" s="34" t="s">
        <v>415</v>
      </c>
      <c r="F229" s="34" t="s">
        <v>1240</v>
      </c>
      <c r="G229" s="34" t="s">
        <v>428</v>
      </c>
      <c r="H229" s="33"/>
      <c r="I229" s="34">
        <v>7444115190</v>
      </c>
      <c r="J229" s="34" t="s">
        <v>1241</v>
      </c>
      <c r="K229" s="36" t="s">
        <v>1242</v>
      </c>
      <c r="L229" s="34" t="s">
        <v>408</v>
      </c>
      <c r="M229" s="34" t="s">
        <v>409</v>
      </c>
      <c r="N229" s="34" t="s">
        <v>13</v>
      </c>
      <c r="O229" s="34" t="s">
        <v>382</v>
      </c>
      <c r="P229" s="35">
        <v>46070</v>
      </c>
      <c r="Q229" s="34" t="s">
        <v>410</v>
      </c>
      <c r="R229" s="34" t="s">
        <v>551</v>
      </c>
      <c r="S229" s="35">
        <v>46029</v>
      </c>
      <c r="T229" s="34" t="s">
        <v>1243</v>
      </c>
      <c r="U229" s="34" t="s">
        <v>412</v>
      </c>
      <c r="V229" s="34" t="s">
        <v>1064</v>
      </c>
      <c r="W229" s="34" t="s">
        <v>353</v>
      </c>
      <c r="X229" s="34" t="s">
        <v>340</v>
      </c>
      <c r="Y229" s="34" t="s">
        <v>642</v>
      </c>
      <c r="Z229" s="33"/>
      <c r="AA229" s="33"/>
      <c r="AB229" s="33"/>
    </row>
    <row r="230" spans="1:28" ht="16" thickBot="1">
      <c r="A230" s="34" t="s">
        <v>16</v>
      </c>
      <c r="B230" s="34">
        <v>1</v>
      </c>
      <c r="C230" s="34" t="s">
        <v>695</v>
      </c>
      <c r="D230" s="34" t="s">
        <v>16</v>
      </c>
      <c r="E230" s="34" t="s">
        <v>415</v>
      </c>
      <c r="F230" s="34" t="s">
        <v>1244</v>
      </c>
      <c r="G230" s="34" t="s">
        <v>417</v>
      </c>
      <c r="H230" s="33"/>
      <c r="I230" s="34">
        <v>7795276276</v>
      </c>
      <c r="J230" s="34" t="s">
        <v>1245</v>
      </c>
      <c r="K230" s="36" t="s">
        <v>1246</v>
      </c>
      <c r="L230" s="34" t="s">
        <v>408</v>
      </c>
      <c r="M230" s="34" t="s">
        <v>420</v>
      </c>
      <c r="N230" s="34" t="s">
        <v>431</v>
      </c>
      <c r="O230" s="34" t="s">
        <v>779</v>
      </c>
      <c r="P230" s="35">
        <v>46073</v>
      </c>
      <c r="Q230" s="34" t="s">
        <v>410</v>
      </c>
      <c r="R230" s="34" t="s">
        <v>551</v>
      </c>
      <c r="S230" s="35">
        <v>46038</v>
      </c>
      <c r="T230" s="34" t="s">
        <v>1247</v>
      </c>
      <c r="U230" s="34" t="s">
        <v>412</v>
      </c>
      <c r="V230" s="34" t="s">
        <v>1248</v>
      </c>
      <c r="W230" s="34" t="s">
        <v>423</v>
      </c>
      <c r="X230" s="34" t="s">
        <v>424</v>
      </c>
      <c r="Y230" s="33"/>
      <c r="Z230" s="33"/>
      <c r="AA230" s="33"/>
      <c r="AB230" s="33"/>
    </row>
    <row r="231" spans="1:28" ht="16" thickBot="1">
      <c r="A231" s="34" t="s">
        <v>146</v>
      </c>
      <c r="B231" s="34">
        <v>1</v>
      </c>
      <c r="C231" s="34" t="s">
        <v>695</v>
      </c>
      <c r="D231" s="34" t="s">
        <v>146</v>
      </c>
      <c r="E231" s="34" t="s">
        <v>478</v>
      </c>
      <c r="F231" s="34" t="s">
        <v>1249</v>
      </c>
      <c r="G231" s="34" t="s">
        <v>417</v>
      </c>
      <c r="H231" s="33"/>
      <c r="I231" s="34">
        <v>7721962363</v>
      </c>
      <c r="J231" s="34" t="s">
        <v>1250</v>
      </c>
      <c r="K231" s="36" t="s">
        <v>1251</v>
      </c>
      <c r="L231" s="34" t="s">
        <v>408</v>
      </c>
      <c r="M231" s="34" t="s">
        <v>409</v>
      </c>
      <c r="N231" s="34" t="s">
        <v>13</v>
      </c>
      <c r="O231" s="34" t="s">
        <v>382</v>
      </c>
      <c r="P231" s="35">
        <v>46077</v>
      </c>
      <c r="Q231" s="34" t="s">
        <v>410</v>
      </c>
      <c r="R231" s="34" t="s">
        <v>422</v>
      </c>
      <c r="S231" s="35">
        <v>46077</v>
      </c>
      <c r="T231" s="34" t="s">
        <v>1252</v>
      </c>
      <c r="U231" s="34" t="s">
        <v>412</v>
      </c>
      <c r="V231" s="34" t="s">
        <v>1253</v>
      </c>
      <c r="W231" s="34" t="s">
        <v>353</v>
      </c>
      <c r="X231" s="34" t="s">
        <v>340</v>
      </c>
      <c r="Y231" s="34" t="s">
        <v>642</v>
      </c>
      <c r="Z231" s="33"/>
      <c r="AA231" s="33"/>
      <c r="AB231" s="33"/>
    </row>
    <row r="232" spans="1:28" ht="16" thickBot="1">
      <c r="A232" s="34" t="s">
        <v>1254</v>
      </c>
      <c r="B232" s="34">
        <v>1</v>
      </c>
      <c r="C232" s="34" t="s">
        <v>836</v>
      </c>
      <c r="D232" s="34" t="s">
        <v>1254</v>
      </c>
      <c r="E232" s="34" t="s">
        <v>415</v>
      </c>
      <c r="F232" s="34" t="s">
        <v>1255</v>
      </c>
      <c r="G232" s="34" t="s">
        <v>428</v>
      </c>
      <c r="H232" s="33"/>
      <c r="I232" s="34">
        <v>7400004666</v>
      </c>
      <c r="J232" s="34" t="s">
        <v>1256</v>
      </c>
      <c r="K232" s="34" t="s">
        <v>407</v>
      </c>
      <c r="L232" s="34" t="s">
        <v>408</v>
      </c>
      <c r="M232" s="34" t="s">
        <v>420</v>
      </c>
      <c r="N232" s="34" t="s">
        <v>431</v>
      </c>
      <c r="O232" s="34" t="s">
        <v>370</v>
      </c>
      <c r="P232" s="35">
        <v>46086</v>
      </c>
      <c r="Q232" s="34" t="s">
        <v>410</v>
      </c>
      <c r="R232" s="34" t="s">
        <v>422</v>
      </c>
      <c r="S232" s="35">
        <v>46084</v>
      </c>
      <c r="T232" s="34" t="s">
        <v>1257</v>
      </c>
      <c r="U232" s="34" t="s">
        <v>412</v>
      </c>
      <c r="V232" s="34" t="s">
        <v>762</v>
      </c>
      <c r="W232" s="34" t="s">
        <v>423</v>
      </c>
      <c r="X232" s="34" t="s">
        <v>424</v>
      </c>
      <c r="Y232" s="33"/>
      <c r="Z232" s="33"/>
      <c r="AA232" s="33"/>
      <c r="AB232" s="33"/>
    </row>
    <row r="233" spans="1:28" ht="16" thickBot="1">
      <c r="A233" s="34" t="s">
        <v>25</v>
      </c>
      <c r="B233" s="34">
        <v>1</v>
      </c>
      <c r="C233" s="34" t="s">
        <v>683</v>
      </c>
      <c r="D233" s="34" t="s">
        <v>25</v>
      </c>
      <c r="E233" s="39" t="s">
        <v>415</v>
      </c>
      <c r="F233" s="34" t="s">
        <v>1258</v>
      </c>
      <c r="G233" s="34" t="s">
        <v>417</v>
      </c>
      <c r="H233" s="33"/>
      <c r="I233" s="34">
        <v>7909418627</v>
      </c>
      <c r="J233" s="34" t="s">
        <v>250</v>
      </c>
      <c r="K233" s="33"/>
      <c r="L233" s="34" t="s">
        <v>408</v>
      </c>
      <c r="M233" s="34" t="s">
        <v>409</v>
      </c>
      <c r="N233" s="34" t="s">
        <v>13</v>
      </c>
      <c r="O233" s="34" t="s">
        <v>382</v>
      </c>
      <c r="P233" s="35">
        <v>46087</v>
      </c>
      <c r="Q233" s="34" t="s">
        <v>410</v>
      </c>
      <c r="R233" s="34" t="s">
        <v>422</v>
      </c>
      <c r="S233" s="35">
        <v>46080</v>
      </c>
      <c r="T233" s="34" t="s">
        <v>1259</v>
      </c>
      <c r="U233" s="34" t="s">
        <v>412</v>
      </c>
      <c r="V233" s="34" t="s">
        <v>1260</v>
      </c>
      <c r="W233" s="34" t="s">
        <v>353</v>
      </c>
      <c r="X233" s="34" t="s">
        <v>340</v>
      </c>
      <c r="Y233" s="33"/>
      <c r="Z233" s="33"/>
      <c r="AA233" s="33"/>
      <c r="AB233" s="33"/>
    </row>
    <row r="234" spans="1:28" ht="16" thickBot="1">
      <c r="A234" s="34" t="s">
        <v>1261</v>
      </c>
      <c r="B234" s="34">
        <v>1</v>
      </c>
      <c r="C234" s="34" t="s">
        <v>500</v>
      </c>
      <c r="D234" s="34" t="s">
        <v>1261</v>
      </c>
      <c r="E234" s="33"/>
      <c r="F234" s="33"/>
      <c r="G234" s="33"/>
      <c r="H234" s="33"/>
      <c r="I234" s="33"/>
      <c r="J234" s="33"/>
      <c r="K234" s="33"/>
      <c r="L234" s="34" t="s">
        <v>408</v>
      </c>
      <c r="M234" s="34" t="s">
        <v>420</v>
      </c>
      <c r="N234" s="34" t="s">
        <v>1262</v>
      </c>
      <c r="O234" s="34" t="s">
        <v>559</v>
      </c>
      <c r="P234" s="35">
        <v>46091</v>
      </c>
      <c r="Q234" s="34" t="s">
        <v>432</v>
      </c>
      <c r="R234" s="34" t="s">
        <v>652</v>
      </c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 spans="1:28" ht="16" thickBot="1">
      <c r="A235" s="34" t="s">
        <v>1263</v>
      </c>
      <c r="B235" s="34">
        <v>1</v>
      </c>
      <c r="C235" s="33"/>
      <c r="D235" s="34" t="s">
        <v>1263</v>
      </c>
      <c r="E235" s="33"/>
      <c r="F235" s="33"/>
      <c r="G235" s="33"/>
      <c r="H235" s="33"/>
      <c r="I235" s="33"/>
      <c r="J235" s="33"/>
      <c r="K235" s="33"/>
      <c r="L235" s="34" t="s">
        <v>408</v>
      </c>
      <c r="M235" s="34" t="s">
        <v>420</v>
      </c>
      <c r="N235" s="34" t="s">
        <v>431</v>
      </c>
      <c r="O235" s="34" t="s">
        <v>559</v>
      </c>
      <c r="P235" s="35">
        <v>46092</v>
      </c>
      <c r="Q235" s="34" t="s">
        <v>410</v>
      </c>
      <c r="R235" s="34" t="s">
        <v>551</v>
      </c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 spans="1:28" ht="16" thickBot="1">
      <c r="A236" s="34" t="s">
        <v>1264</v>
      </c>
      <c r="B236" s="34">
        <v>1</v>
      </c>
      <c r="C236" s="34" t="s">
        <v>1265</v>
      </c>
      <c r="D236" s="34" t="s">
        <v>142</v>
      </c>
      <c r="E236" s="34" t="s">
        <v>415</v>
      </c>
      <c r="F236" s="34" t="s">
        <v>1266</v>
      </c>
      <c r="G236" s="34" t="s">
        <v>417</v>
      </c>
      <c r="H236" s="33"/>
      <c r="I236" s="34">
        <v>7850686977</v>
      </c>
      <c r="J236" s="34" t="s">
        <v>1267</v>
      </c>
      <c r="K236" s="34" t="s">
        <v>1268</v>
      </c>
      <c r="L236" s="34" t="s">
        <v>408</v>
      </c>
      <c r="M236" s="34" t="s">
        <v>409</v>
      </c>
      <c r="N236" s="34" t="s">
        <v>13</v>
      </c>
      <c r="O236" s="34" t="s">
        <v>382</v>
      </c>
      <c r="P236" s="35">
        <v>46093</v>
      </c>
      <c r="Q236" s="34" t="s">
        <v>410</v>
      </c>
      <c r="R236" s="34" t="s">
        <v>422</v>
      </c>
      <c r="S236" s="35">
        <v>46090</v>
      </c>
      <c r="T236" s="34" t="s">
        <v>1269</v>
      </c>
      <c r="U236" s="34" t="s">
        <v>412</v>
      </c>
      <c r="V236" s="34" t="s">
        <v>1270</v>
      </c>
      <c r="W236" s="34" t="s">
        <v>353</v>
      </c>
      <c r="X236" s="34" t="s">
        <v>340</v>
      </c>
      <c r="Y236" s="33"/>
      <c r="Z236" s="33"/>
      <c r="AA236" s="33"/>
      <c r="AB236" s="33"/>
    </row>
    <row r="237" spans="1:28" ht="16" thickBot="1">
      <c r="A237" s="34" t="s">
        <v>1264</v>
      </c>
      <c r="B237" s="34">
        <v>2</v>
      </c>
      <c r="C237" s="34" t="s">
        <v>1265</v>
      </c>
      <c r="D237" s="34" t="s">
        <v>1271</v>
      </c>
      <c r="E237" s="34" t="s">
        <v>415</v>
      </c>
      <c r="F237" s="34" t="s">
        <v>1266</v>
      </c>
      <c r="G237" s="34" t="s">
        <v>417</v>
      </c>
      <c r="H237" s="33"/>
      <c r="I237" s="34">
        <v>7850686977</v>
      </c>
      <c r="J237" s="34" t="s">
        <v>1267</v>
      </c>
      <c r="K237" s="34" t="s">
        <v>1272</v>
      </c>
      <c r="L237" s="34" t="s">
        <v>408</v>
      </c>
      <c r="M237" s="34" t="s">
        <v>409</v>
      </c>
      <c r="N237" s="34" t="s">
        <v>13</v>
      </c>
      <c r="O237" s="34" t="s">
        <v>382</v>
      </c>
      <c r="P237" s="35">
        <v>46093</v>
      </c>
      <c r="Q237" s="34" t="s">
        <v>410</v>
      </c>
      <c r="R237" s="34" t="s">
        <v>422</v>
      </c>
      <c r="S237" s="35">
        <v>46090</v>
      </c>
      <c r="T237" s="34" t="s">
        <v>1269</v>
      </c>
      <c r="U237" s="34" t="s">
        <v>412</v>
      </c>
      <c r="V237" s="34" t="s">
        <v>1270</v>
      </c>
      <c r="W237" s="34" t="s">
        <v>353</v>
      </c>
      <c r="X237" s="34" t="s">
        <v>340</v>
      </c>
      <c r="Y237" s="33"/>
      <c r="Z237" s="33"/>
      <c r="AA237" s="33"/>
      <c r="AB237" s="33"/>
    </row>
    <row r="238" spans="1:28" ht="16" thickBot="1">
      <c r="A238" s="34" t="s">
        <v>1136</v>
      </c>
      <c r="B238" s="34">
        <v>2</v>
      </c>
      <c r="C238" s="34" t="s">
        <v>670</v>
      </c>
      <c r="D238" s="34" t="s">
        <v>1136</v>
      </c>
      <c r="E238" s="33"/>
      <c r="F238" s="33"/>
      <c r="G238" s="33"/>
      <c r="H238" s="33"/>
      <c r="I238" s="33"/>
      <c r="J238" s="33"/>
      <c r="K238" s="33"/>
      <c r="L238" s="34" t="s">
        <v>408</v>
      </c>
      <c r="M238" s="34" t="s">
        <v>409</v>
      </c>
      <c r="N238" s="34" t="s">
        <v>13</v>
      </c>
      <c r="O238" s="34" t="s">
        <v>364</v>
      </c>
      <c r="P238" s="35">
        <v>46094</v>
      </c>
      <c r="Q238" s="34" t="s">
        <v>432</v>
      </c>
      <c r="R238" s="34" t="s">
        <v>551</v>
      </c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 spans="1:28" ht="16" thickBot="1">
      <c r="A239" s="34" t="s">
        <v>910</v>
      </c>
      <c r="B239" s="34">
        <v>3</v>
      </c>
      <c r="C239" s="34" t="s">
        <v>450</v>
      </c>
      <c r="D239" s="34" t="s">
        <v>910</v>
      </c>
      <c r="E239" s="34" t="s">
        <v>478</v>
      </c>
      <c r="F239" s="34" t="s">
        <v>911</v>
      </c>
      <c r="G239" s="34" t="s">
        <v>417</v>
      </c>
      <c r="H239" s="33"/>
      <c r="I239" s="34">
        <v>7966020134</v>
      </c>
      <c r="J239" s="34" t="s">
        <v>912</v>
      </c>
      <c r="K239" s="36" t="s">
        <v>913</v>
      </c>
      <c r="L239" s="34" t="s">
        <v>408</v>
      </c>
      <c r="M239" s="34" t="s">
        <v>409</v>
      </c>
      <c r="N239" s="34" t="s">
        <v>1220</v>
      </c>
      <c r="O239" s="34" t="s">
        <v>559</v>
      </c>
      <c r="P239" s="35">
        <v>46105</v>
      </c>
      <c r="Q239" s="34" t="s">
        <v>432</v>
      </c>
      <c r="R239" s="34" t="s">
        <v>422</v>
      </c>
      <c r="S239" s="35">
        <v>45723</v>
      </c>
      <c r="T239" s="34" t="s">
        <v>914</v>
      </c>
      <c r="U239" s="34" t="s">
        <v>412</v>
      </c>
      <c r="V239" s="40" t="s">
        <v>689</v>
      </c>
      <c r="W239" s="33"/>
      <c r="X239" s="33"/>
      <c r="Y239" s="33"/>
      <c r="Z239" s="33"/>
      <c r="AA239" s="33"/>
      <c r="AB239" s="33"/>
    </row>
    <row r="240" spans="1:28" ht="16" thickBot="1">
      <c r="A240" s="34" t="s">
        <v>1273</v>
      </c>
      <c r="B240" s="34">
        <v>1</v>
      </c>
      <c r="C240" s="34" t="s">
        <v>500</v>
      </c>
      <c r="D240" s="34" t="s">
        <v>1274</v>
      </c>
      <c r="E240" s="34" t="s">
        <v>415</v>
      </c>
      <c r="F240" s="34" t="s">
        <v>1275</v>
      </c>
      <c r="G240" s="34" t="s">
        <v>428</v>
      </c>
      <c r="H240" s="41">
        <v>1515465151</v>
      </c>
      <c r="I240" s="33"/>
      <c r="J240" s="42" t="s">
        <v>1276</v>
      </c>
      <c r="K240" s="36" t="s">
        <v>1277</v>
      </c>
      <c r="L240" s="34" t="s">
        <v>408</v>
      </c>
      <c r="M240" s="34" t="s">
        <v>420</v>
      </c>
      <c r="N240" s="34" t="s">
        <v>431</v>
      </c>
      <c r="O240" s="34" t="s">
        <v>369</v>
      </c>
      <c r="P240" s="35">
        <v>46112</v>
      </c>
      <c r="Q240" s="34" t="s">
        <v>410</v>
      </c>
      <c r="R240" s="34" t="s">
        <v>652</v>
      </c>
      <c r="S240" s="35">
        <v>45938</v>
      </c>
      <c r="T240" s="33" t="s">
        <v>1278</v>
      </c>
      <c r="U240" s="34" t="s">
        <v>412</v>
      </c>
      <c r="V240" s="34" t="s">
        <v>974</v>
      </c>
      <c r="W240" s="34" t="s">
        <v>423</v>
      </c>
      <c r="X240" s="34" t="s">
        <v>424</v>
      </c>
      <c r="Y240" s="33"/>
      <c r="Z240" s="33"/>
      <c r="AA240" s="33"/>
      <c r="AB240" s="33"/>
    </row>
    <row r="241" spans="1:28" ht="16" thickBot="1">
      <c r="A241" s="34" t="s">
        <v>37</v>
      </c>
      <c r="B241" s="34">
        <v>1</v>
      </c>
      <c r="C241" s="34" t="s">
        <v>492</v>
      </c>
      <c r="D241" s="34" t="s">
        <v>37</v>
      </c>
      <c r="E241" s="34" t="s">
        <v>415</v>
      </c>
      <c r="F241" s="34" t="s">
        <v>1279</v>
      </c>
      <c r="G241" s="34" t="s">
        <v>428</v>
      </c>
      <c r="H241" s="34">
        <v>1702470450</v>
      </c>
      <c r="I241" s="34">
        <v>7811125439</v>
      </c>
      <c r="J241" s="34" t="s">
        <v>1280</v>
      </c>
      <c r="K241" s="34" t="s">
        <v>1281</v>
      </c>
      <c r="L241" s="34" t="s">
        <v>408</v>
      </c>
      <c r="M241" s="34" t="s">
        <v>409</v>
      </c>
      <c r="N241" s="34" t="s">
        <v>19</v>
      </c>
      <c r="O241" s="34" t="s">
        <v>517</v>
      </c>
      <c r="P241" s="35">
        <v>46125</v>
      </c>
      <c r="Q241" s="34" t="s">
        <v>410</v>
      </c>
      <c r="R241" s="34" t="s">
        <v>422</v>
      </c>
      <c r="S241" s="35">
        <v>46123</v>
      </c>
      <c r="T241" s="34" t="s">
        <v>1282</v>
      </c>
      <c r="U241" s="34" t="s">
        <v>412</v>
      </c>
      <c r="V241" s="34" t="s">
        <v>1283</v>
      </c>
      <c r="W241" s="34" t="s">
        <v>353</v>
      </c>
      <c r="X241" s="34" t="s">
        <v>340</v>
      </c>
      <c r="Y241" s="33"/>
      <c r="Z241" s="33"/>
      <c r="AA241" s="33"/>
      <c r="AB241" s="33"/>
    </row>
    <row r="242" spans="1:28" ht="16" thickBot="1">
      <c r="A242" s="34" t="s">
        <v>1284</v>
      </c>
      <c r="B242" s="34">
        <v>1</v>
      </c>
      <c r="C242" s="34" t="s">
        <v>450</v>
      </c>
      <c r="D242" s="34" t="s">
        <v>1284</v>
      </c>
      <c r="E242" s="34" t="s">
        <v>415</v>
      </c>
      <c r="F242" s="34" t="s">
        <v>1285</v>
      </c>
      <c r="G242" s="34" t="s">
        <v>428</v>
      </c>
      <c r="H242" s="33"/>
      <c r="I242" s="34">
        <v>7968951185</v>
      </c>
      <c r="J242" s="34" t="s">
        <v>1286</v>
      </c>
      <c r="K242" s="34" t="s">
        <v>1287</v>
      </c>
      <c r="L242" s="34" t="s">
        <v>408</v>
      </c>
      <c r="M242" s="34" t="s">
        <v>420</v>
      </c>
      <c r="N242" s="34" t="s">
        <v>1288</v>
      </c>
      <c r="O242" s="34" t="s">
        <v>370</v>
      </c>
      <c r="P242" s="35">
        <v>46127</v>
      </c>
      <c r="Q242" s="34" t="s">
        <v>410</v>
      </c>
      <c r="R242" s="34" t="s">
        <v>422</v>
      </c>
      <c r="S242" s="35">
        <v>46122</v>
      </c>
      <c r="T242" s="34" t="s">
        <v>1289</v>
      </c>
      <c r="U242" s="34" t="s">
        <v>412</v>
      </c>
      <c r="V242" s="34" t="s">
        <v>1290</v>
      </c>
      <c r="W242" s="34" t="s">
        <v>1291</v>
      </c>
      <c r="X242" s="34" t="s">
        <v>1292</v>
      </c>
      <c r="Y242" s="33"/>
      <c r="Z242" s="33"/>
      <c r="AA242" s="33"/>
      <c r="AB242" s="33"/>
    </row>
    <row r="243" spans="1:28" ht="16" thickBot="1">
      <c r="A243" s="34" t="s">
        <v>1264</v>
      </c>
      <c r="B243" s="34">
        <v>3</v>
      </c>
      <c r="C243" s="34" t="s">
        <v>1265</v>
      </c>
      <c r="D243" s="34" t="s">
        <v>142</v>
      </c>
      <c r="E243" s="34" t="s">
        <v>415</v>
      </c>
      <c r="F243" s="34" t="s">
        <v>1266</v>
      </c>
      <c r="G243" s="34" t="s">
        <v>417</v>
      </c>
      <c r="H243" s="33"/>
      <c r="I243" s="34">
        <v>7850686977</v>
      </c>
      <c r="J243" s="34" t="s">
        <v>1267</v>
      </c>
      <c r="K243" s="34" t="s">
        <v>1268</v>
      </c>
      <c r="L243" s="34" t="s">
        <v>408</v>
      </c>
      <c r="M243" s="34" t="s">
        <v>420</v>
      </c>
      <c r="N243" s="34" t="s">
        <v>431</v>
      </c>
      <c r="O243" s="34" t="s">
        <v>370</v>
      </c>
      <c r="P243" s="35">
        <v>46134</v>
      </c>
      <c r="Q243" s="34" t="s">
        <v>432</v>
      </c>
      <c r="R243" s="34" t="s">
        <v>422</v>
      </c>
      <c r="S243" s="35">
        <v>46090</v>
      </c>
      <c r="T243" s="34" t="s">
        <v>1269</v>
      </c>
      <c r="U243" s="34" t="s">
        <v>412</v>
      </c>
      <c r="V243" s="34" t="s">
        <v>1270</v>
      </c>
      <c r="W243" s="34" t="s">
        <v>423</v>
      </c>
      <c r="X243" s="34" t="s">
        <v>424</v>
      </c>
      <c r="Y243" s="33"/>
      <c r="Z243" s="33"/>
      <c r="AA243" s="33"/>
      <c r="AB243" s="33"/>
    </row>
    <row r="244" spans="1:28" ht="16" thickBot="1">
      <c r="A244" s="34" t="s">
        <v>464</v>
      </c>
      <c r="B244" s="34">
        <v>33</v>
      </c>
      <c r="C244" s="34" t="s">
        <v>500</v>
      </c>
      <c r="D244" s="34" t="s">
        <v>1293</v>
      </c>
      <c r="E244" s="34" t="s">
        <v>415</v>
      </c>
      <c r="F244" s="34" t="s">
        <v>634</v>
      </c>
      <c r="G244" s="34" t="s">
        <v>428</v>
      </c>
      <c r="H244" s="33"/>
      <c r="I244" s="33"/>
      <c r="J244" s="34" t="s">
        <v>635</v>
      </c>
      <c r="K244" s="33"/>
      <c r="L244" s="34" t="s">
        <v>408</v>
      </c>
      <c r="M244" s="34" t="s">
        <v>409</v>
      </c>
      <c r="N244" s="34" t="s">
        <v>36</v>
      </c>
      <c r="O244" s="34" t="s">
        <v>369</v>
      </c>
      <c r="P244" s="35">
        <v>46135</v>
      </c>
      <c r="Q244" s="34" t="s">
        <v>432</v>
      </c>
      <c r="R244" s="34" t="s">
        <v>422</v>
      </c>
      <c r="S244" s="33"/>
      <c r="T244" s="33"/>
      <c r="U244" s="34" t="s">
        <v>412</v>
      </c>
      <c r="V244" s="34" t="s">
        <v>422</v>
      </c>
      <c r="W244" s="34" t="s">
        <v>353</v>
      </c>
      <c r="X244" s="34" t="s">
        <v>340</v>
      </c>
      <c r="Y244" s="33"/>
      <c r="Z244" s="33"/>
      <c r="AA244" s="33"/>
      <c r="AB244" s="33"/>
    </row>
    <row r="245" spans="1:28" ht="16" thickBot="1">
      <c r="A245" s="34" t="s">
        <v>464</v>
      </c>
      <c r="B245" s="34">
        <v>29</v>
      </c>
      <c r="C245" s="34" t="s">
        <v>465</v>
      </c>
      <c r="D245" s="34" t="s">
        <v>1294</v>
      </c>
      <c r="E245" s="34" t="s">
        <v>415</v>
      </c>
      <c r="F245" s="34" t="s">
        <v>554</v>
      </c>
      <c r="G245" s="34" t="s">
        <v>428</v>
      </c>
      <c r="H245" s="33"/>
      <c r="I245" s="33"/>
      <c r="J245" s="33"/>
      <c r="K245" s="36" t="s">
        <v>1135</v>
      </c>
      <c r="L245" s="34" t="s">
        <v>408</v>
      </c>
      <c r="M245" s="34" t="s">
        <v>409</v>
      </c>
      <c r="N245" s="34" t="s">
        <v>36</v>
      </c>
      <c r="O245" s="34" t="s">
        <v>605</v>
      </c>
      <c r="P245" s="35">
        <v>46141</v>
      </c>
      <c r="Q245" s="34" t="s">
        <v>432</v>
      </c>
      <c r="R245" s="34" t="s">
        <v>422</v>
      </c>
      <c r="S245" s="33"/>
      <c r="T245" s="34" t="s">
        <v>557</v>
      </c>
      <c r="U245" s="34" t="s">
        <v>412</v>
      </c>
      <c r="V245" s="34" t="s">
        <v>422</v>
      </c>
      <c r="W245" s="34" t="s">
        <v>353</v>
      </c>
      <c r="X245" s="34" t="s">
        <v>340</v>
      </c>
      <c r="Y245" s="33"/>
      <c r="Z245" s="33"/>
      <c r="AA245" s="33"/>
      <c r="AB245" s="33"/>
    </row>
    <row r="246" spans="1:28" ht="16" thickBot="1">
      <c r="A246" s="34" t="s">
        <v>1295</v>
      </c>
      <c r="B246" s="33"/>
      <c r="C246" s="34" t="s">
        <v>500</v>
      </c>
      <c r="D246" s="34" t="s">
        <v>1295</v>
      </c>
      <c r="E246" s="34" t="s">
        <v>478</v>
      </c>
      <c r="F246" s="34" t="s">
        <v>1296</v>
      </c>
      <c r="G246" s="34" t="s">
        <v>428</v>
      </c>
      <c r="H246" s="33"/>
      <c r="I246" s="34">
        <v>7359276909</v>
      </c>
      <c r="J246" s="34" t="s">
        <v>1297</v>
      </c>
      <c r="K246" s="33"/>
      <c r="L246" s="34" t="s">
        <v>408</v>
      </c>
      <c r="M246" s="34" t="s">
        <v>420</v>
      </c>
      <c r="N246" s="34" t="s">
        <v>1262</v>
      </c>
      <c r="O246" s="34" t="s">
        <v>370</v>
      </c>
      <c r="P246" s="35">
        <v>46147</v>
      </c>
      <c r="Q246" s="34" t="s">
        <v>410</v>
      </c>
      <c r="R246" s="34" t="s">
        <v>422</v>
      </c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 spans="1:28" ht="16" thickBot="1">
      <c r="A247" s="34" t="s">
        <v>1298</v>
      </c>
      <c r="B247" s="33"/>
      <c r="C247" s="34" t="s">
        <v>683</v>
      </c>
      <c r="D247" s="34" t="s">
        <v>1298</v>
      </c>
      <c r="E247" s="34" t="s">
        <v>415</v>
      </c>
      <c r="F247" s="34" t="s">
        <v>1299</v>
      </c>
      <c r="G247" s="34" t="s">
        <v>428</v>
      </c>
      <c r="H247" s="33"/>
      <c r="I247" s="34">
        <v>7587120308</v>
      </c>
      <c r="J247" s="34" t="s">
        <v>1300</v>
      </c>
      <c r="K247" s="33"/>
      <c r="L247" s="34" t="s">
        <v>408</v>
      </c>
      <c r="M247" s="34" t="s">
        <v>409</v>
      </c>
      <c r="N247" s="34" t="s">
        <v>13</v>
      </c>
      <c r="O247" s="34" t="s">
        <v>382</v>
      </c>
      <c r="P247" s="35">
        <v>46149</v>
      </c>
      <c r="Q247" s="34" t="s">
        <v>410</v>
      </c>
      <c r="R247" s="34" t="s">
        <v>422</v>
      </c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 spans="1:28" ht="16" thickBot="1">
      <c r="A248" s="34" t="s">
        <v>146</v>
      </c>
      <c r="B248" s="33"/>
      <c r="C248" s="34" t="s">
        <v>695</v>
      </c>
      <c r="D248" s="34" t="s">
        <v>146</v>
      </c>
      <c r="E248" s="34" t="s">
        <v>478</v>
      </c>
      <c r="F248" s="33"/>
      <c r="G248" s="33"/>
      <c r="H248" s="33"/>
      <c r="I248" s="33"/>
      <c r="J248" s="33"/>
      <c r="K248" s="33"/>
      <c r="L248" s="34" t="s">
        <v>408</v>
      </c>
      <c r="M248" s="34" t="s">
        <v>420</v>
      </c>
      <c r="N248" s="34" t="s">
        <v>1262</v>
      </c>
      <c r="O248" s="34" t="s">
        <v>370</v>
      </c>
      <c r="P248" s="35">
        <v>46163</v>
      </c>
      <c r="Q248" s="34" t="s">
        <v>432</v>
      </c>
      <c r="R248" s="34" t="s">
        <v>422</v>
      </c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 spans="1:28" ht="16" thickBot="1">
      <c r="A249" s="34" t="s">
        <v>1301</v>
      </c>
      <c r="B249" s="33"/>
      <c r="C249" s="34" t="s">
        <v>477</v>
      </c>
      <c r="D249" s="34" t="s">
        <v>1301</v>
      </c>
      <c r="E249" s="34" t="s">
        <v>415</v>
      </c>
      <c r="F249" s="34" t="s">
        <v>1302</v>
      </c>
      <c r="G249" s="34" t="s">
        <v>428</v>
      </c>
      <c r="H249" s="33"/>
      <c r="I249" s="34">
        <v>7437013317</v>
      </c>
      <c r="J249" s="34" t="s">
        <v>1303</v>
      </c>
      <c r="K249" s="33"/>
      <c r="L249" s="34" t="s">
        <v>408</v>
      </c>
      <c r="M249" s="34" t="s">
        <v>409</v>
      </c>
      <c r="N249" s="34" t="s">
        <v>13</v>
      </c>
      <c r="O249" s="34" t="s">
        <v>1304</v>
      </c>
      <c r="P249" s="35">
        <v>46184</v>
      </c>
      <c r="Q249" s="34" t="s">
        <v>410</v>
      </c>
      <c r="R249" s="34" t="s">
        <v>422</v>
      </c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 spans="1:28" ht="16" thickBot="1">
      <c r="A250" s="34" t="s">
        <v>1301</v>
      </c>
      <c r="B250" s="33"/>
      <c r="C250" s="34" t="s">
        <v>477</v>
      </c>
      <c r="D250" s="34" t="s">
        <v>1301</v>
      </c>
      <c r="E250" s="34" t="s">
        <v>415</v>
      </c>
      <c r="F250" s="34" t="s">
        <v>1302</v>
      </c>
      <c r="G250" s="34" t="s">
        <v>428</v>
      </c>
      <c r="H250" s="33"/>
      <c r="I250" s="34">
        <v>7437013317</v>
      </c>
      <c r="J250" s="34" t="s">
        <v>1303</v>
      </c>
      <c r="K250" s="33"/>
      <c r="L250" s="34" t="s">
        <v>408</v>
      </c>
      <c r="M250" s="34" t="s">
        <v>420</v>
      </c>
      <c r="N250" s="34" t="s">
        <v>431</v>
      </c>
      <c r="O250" s="34" t="s">
        <v>382</v>
      </c>
      <c r="P250" s="35">
        <v>46184</v>
      </c>
      <c r="Q250" s="34" t="s">
        <v>432</v>
      </c>
      <c r="R250" s="34" t="s">
        <v>422</v>
      </c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 spans="1:28" ht="16" thickBot="1">
      <c r="A251" s="34" t="s">
        <v>1264</v>
      </c>
      <c r="B251" s="34">
        <v>4</v>
      </c>
      <c r="C251" s="34" t="s">
        <v>1265</v>
      </c>
      <c r="D251" s="34" t="s">
        <v>1271</v>
      </c>
      <c r="E251" s="34" t="s">
        <v>415</v>
      </c>
      <c r="F251" s="34" t="s">
        <v>1266</v>
      </c>
      <c r="G251" s="34" t="s">
        <v>417</v>
      </c>
      <c r="H251" s="33"/>
      <c r="I251" s="34">
        <v>7850686977</v>
      </c>
      <c r="J251" s="34" t="s">
        <v>1267</v>
      </c>
      <c r="K251" s="36" t="s">
        <v>1272</v>
      </c>
      <c r="L251" s="34" t="s">
        <v>408</v>
      </c>
      <c r="M251" s="34" t="s">
        <v>420</v>
      </c>
      <c r="N251" s="34" t="s">
        <v>431</v>
      </c>
      <c r="O251" s="34" t="s">
        <v>370</v>
      </c>
      <c r="P251" s="35">
        <v>46192</v>
      </c>
      <c r="Q251" s="34" t="s">
        <v>432</v>
      </c>
      <c r="R251" s="34" t="s">
        <v>422</v>
      </c>
      <c r="S251" s="35">
        <v>46090</v>
      </c>
      <c r="T251" s="34" t="s">
        <v>1269</v>
      </c>
      <c r="U251" s="34" t="s">
        <v>412</v>
      </c>
      <c r="V251" s="34" t="s">
        <v>1270</v>
      </c>
      <c r="W251" s="34" t="s">
        <v>423</v>
      </c>
      <c r="X251" s="34" t="s">
        <v>424</v>
      </c>
      <c r="Y251" s="33"/>
      <c r="Z251" s="33"/>
      <c r="AA251" s="33"/>
      <c r="AB251" s="33"/>
    </row>
    <row r="252" spans="1:28" ht="16" thickBot="1">
      <c r="A252" s="34" t="s">
        <v>464</v>
      </c>
      <c r="B252" s="33"/>
      <c r="C252" s="34" t="s">
        <v>500</v>
      </c>
      <c r="D252" s="33" t="s">
        <v>1305</v>
      </c>
      <c r="E252" s="34" t="s">
        <v>415</v>
      </c>
      <c r="F252" s="34" t="s">
        <v>634</v>
      </c>
      <c r="G252" s="34" t="s">
        <v>428</v>
      </c>
      <c r="H252" s="33"/>
      <c r="I252" s="33"/>
      <c r="J252" s="34" t="s">
        <v>635</v>
      </c>
      <c r="K252" s="33"/>
      <c r="L252" s="34" t="s">
        <v>408</v>
      </c>
      <c r="M252" s="34" t="s">
        <v>409</v>
      </c>
      <c r="N252" s="34" t="s">
        <v>36</v>
      </c>
      <c r="O252" s="34" t="s">
        <v>1306</v>
      </c>
      <c r="P252" s="35">
        <v>46045</v>
      </c>
      <c r="Q252" s="34" t="s">
        <v>432</v>
      </c>
      <c r="R252" s="34" t="s">
        <v>422</v>
      </c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</sheetData>
  <mergeCells count="33">
    <mergeCell ref="X179:Y179"/>
    <mergeCell ref="X185:Y185"/>
    <mergeCell ref="X219:Y219"/>
    <mergeCell ref="X161:Y161"/>
    <mergeCell ref="X162:Y162"/>
    <mergeCell ref="X165:Y165"/>
    <mergeCell ref="X166:Y166"/>
    <mergeCell ref="X168:Y168"/>
    <mergeCell ref="X174:Y174"/>
    <mergeCell ref="X160:Y160"/>
    <mergeCell ref="X39:Y39"/>
    <mergeCell ref="X47:Y47"/>
    <mergeCell ref="X52:Y52"/>
    <mergeCell ref="X58:Y58"/>
    <mergeCell ref="X61:Y61"/>
    <mergeCell ref="X67:Y67"/>
    <mergeCell ref="X70:Y70"/>
    <mergeCell ref="X74:Y74"/>
    <mergeCell ref="X75:Y75"/>
    <mergeCell ref="X115:Y115"/>
    <mergeCell ref="X134:Y134"/>
    <mergeCell ref="X36:Y36"/>
    <mergeCell ref="X3:Y3"/>
    <mergeCell ref="X5:Y5"/>
    <mergeCell ref="X6:Y6"/>
    <mergeCell ref="X9:Y9"/>
    <mergeCell ref="X14:Y14"/>
    <mergeCell ref="X15:Y15"/>
    <mergeCell ref="X19:Y19"/>
    <mergeCell ref="X27:Y27"/>
    <mergeCell ref="X29:Y29"/>
    <mergeCell ref="X30:Y30"/>
    <mergeCell ref="X32:Y32"/>
  </mergeCells>
  <hyperlinks>
    <hyperlink ref="K3" r:id="rId1"/>
    <hyperlink ref="K4" r:id="rId2"/>
    <hyperlink ref="K5" r:id="rId3"/>
    <hyperlink ref="K6" r:id="rId4"/>
    <hyperlink ref="K8" r:id="rId5"/>
    <hyperlink ref="K9" r:id="rId6"/>
    <hyperlink ref="K10" r:id="rId7"/>
    <hyperlink ref="K11" r:id="rId8"/>
    <hyperlink ref="K12" r:id="rId9"/>
    <hyperlink ref="K13" r:id="rId10"/>
    <hyperlink ref="K14" r:id="rId11"/>
    <hyperlink ref="K15" r:id="rId12"/>
    <hyperlink ref="K16" r:id="rId13"/>
    <hyperlink ref="K17" r:id="rId14"/>
    <hyperlink ref="K18" r:id="rId15"/>
    <hyperlink ref="K19" r:id="rId16"/>
    <hyperlink ref="K20" r:id="rId17"/>
    <hyperlink ref="K21" r:id="rId18"/>
    <hyperlink ref="K23" r:id="rId19"/>
    <hyperlink ref="K24" r:id="rId20"/>
    <hyperlink ref="K25" r:id="rId21"/>
    <hyperlink ref="K26" r:id="rId22"/>
    <hyperlink ref="K27" r:id="rId23"/>
    <hyperlink ref="K28" r:id="rId24"/>
    <hyperlink ref="K29" r:id="rId25"/>
    <hyperlink ref="K30" r:id="rId26"/>
    <hyperlink ref="K31" r:id="rId27"/>
    <hyperlink ref="K32" r:id="rId28"/>
    <hyperlink ref="K33" r:id="rId29"/>
    <hyperlink ref="K34" r:id="rId30"/>
    <hyperlink ref="K35" r:id="rId31"/>
    <hyperlink ref="K36" r:id="rId32"/>
    <hyperlink ref="K37" r:id="rId33"/>
    <hyperlink ref="K38" r:id="rId34"/>
    <hyperlink ref="K39" r:id="rId35"/>
    <hyperlink ref="K40" r:id="rId36"/>
    <hyperlink ref="K41" r:id="rId37"/>
    <hyperlink ref="K42" r:id="rId38"/>
    <hyperlink ref="K43" r:id="rId39"/>
    <hyperlink ref="K45" r:id="rId40"/>
    <hyperlink ref="K47" r:id="rId41"/>
    <hyperlink ref="K48" r:id="rId42"/>
    <hyperlink ref="K49" r:id="rId43"/>
    <hyperlink ref="K50" r:id="rId44"/>
    <hyperlink ref="K51" r:id="rId45"/>
    <hyperlink ref="K52" r:id="rId46"/>
    <hyperlink ref="K54" r:id="rId47"/>
    <hyperlink ref="K55" r:id="rId48"/>
    <hyperlink ref="K56" r:id="rId49"/>
    <hyperlink ref="K57" r:id="rId50"/>
    <hyperlink ref="K58" r:id="rId51"/>
    <hyperlink ref="K59" r:id="rId52"/>
    <hyperlink ref="K60" r:id="rId53"/>
    <hyperlink ref="K62" r:id="rId54"/>
    <hyperlink ref="K63" r:id="rId55"/>
    <hyperlink ref="K64" r:id="rId56"/>
    <hyperlink ref="K65" r:id="rId57"/>
    <hyperlink ref="K66" r:id="rId58"/>
    <hyperlink ref="K67" r:id="rId59"/>
    <hyperlink ref="K68" r:id="rId60"/>
    <hyperlink ref="K69" r:id="rId61"/>
    <hyperlink ref="K70" r:id="rId62"/>
    <hyperlink ref="K71" r:id="rId63"/>
    <hyperlink ref="K72" r:id="rId64"/>
    <hyperlink ref="K77" r:id="rId65"/>
    <hyperlink ref="K79" r:id="rId66"/>
    <hyperlink ref="K80" r:id="rId67"/>
    <hyperlink ref="K81" r:id="rId68"/>
    <hyperlink ref="K82" r:id="rId69"/>
    <hyperlink ref="K83" r:id="rId70"/>
    <hyperlink ref="K84" r:id="rId71"/>
    <hyperlink ref="K85" r:id="rId72"/>
    <hyperlink ref="K86" r:id="rId73"/>
    <hyperlink ref="K87" r:id="rId74"/>
    <hyperlink ref="K88" r:id="rId75"/>
    <hyperlink ref="K91" r:id="rId76"/>
    <hyperlink ref="K92" r:id="rId77"/>
    <hyperlink ref="K93" r:id="rId78"/>
    <hyperlink ref="K95" r:id="rId79"/>
    <hyperlink ref="K96" r:id="rId80"/>
    <hyperlink ref="K97" r:id="rId81"/>
    <hyperlink ref="K98" r:id="rId82"/>
    <hyperlink ref="K99" r:id="rId83"/>
    <hyperlink ref="K100" r:id="rId84"/>
    <hyperlink ref="K102" r:id="rId85"/>
    <hyperlink ref="K103" r:id="rId86"/>
    <hyperlink ref="K104" r:id="rId87"/>
    <hyperlink ref="K105" r:id="rId88"/>
    <hyperlink ref="K106" r:id="rId89"/>
    <hyperlink ref="K107" r:id="rId90"/>
    <hyperlink ref="K108" r:id="rId91"/>
    <hyperlink ref="K109" r:id="rId92"/>
    <hyperlink ref="K111" r:id="rId93"/>
    <hyperlink ref="K112" r:id="rId94"/>
    <hyperlink ref="K113" r:id="rId95"/>
    <hyperlink ref="K114" r:id="rId96"/>
    <hyperlink ref="K116" r:id="rId97"/>
    <hyperlink ref="K117" r:id="rId98"/>
    <hyperlink ref="K118" r:id="rId99"/>
    <hyperlink ref="K119" r:id="rId100"/>
    <hyperlink ref="K120" r:id="rId101"/>
    <hyperlink ref="K122" r:id="rId102"/>
    <hyperlink ref="K123" r:id="rId103"/>
    <hyperlink ref="K125" r:id="rId104"/>
    <hyperlink ref="K126" r:id="rId105"/>
    <hyperlink ref="K127" r:id="rId106"/>
    <hyperlink ref="K128" r:id="rId107"/>
    <hyperlink ref="K129" r:id="rId108"/>
    <hyperlink ref="K130" r:id="rId109"/>
    <hyperlink ref="K131" r:id="rId110"/>
    <hyperlink ref="K132" r:id="rId111"/>
    <hyperlink ref="K134" r:id="rId112"/>
    <hyperlink ref="K135" r:id="rId113"/>
    <hyperlink ref="K136" r:id="rId114"/>
    <hyperlink ref="K137" r:id="rId115"/>
    <hyperlink ref="K138" r:id="rId116"/>
    <hyperlink ref="K139" r:id="rId117"/>
    <hyperlink ref="K141" r:id="rId118"/>
    <hyperlink ref="K142" r:id="rId119"/>
    <hyperlink ref="K143" r:id="rId120"/>
    <hyperlink ref="K146" r:id="rId121"/>
    <hyperlink ref="K147" r:id="rId122"/>
    <hyperlink ref="K148" r:id="rId123"/>
    <hyperlink ref="K149" r:id="rId124"/>
    <hyperlink ref="K150" r:id="rId125"/>
    <hyperlink ref="K151" r:id="rId126"/>
    <hyperlink ref="K153" r:id="rId127"/>
    <hyperlink ref="K154" r:id="rId128"/>
    <hyperlink ref="K157" r:id="rId129"/>
    <hyperlink ref="K158" r:id="rId130"/>
    <hyperlink ref="K159" r:id="rId131"/>
    <hyperlink ref="K160" r:id="rId132"/>
    <hyperlink ref="K161" r:id="rId133"/>
    <hyperlink ref="K162" r:id="rId134"/>
    <hyperlink ref="K163" r:id="rId135"/>
    <hyperlink ref="K164" r:id="rId136"/>
    <hyperlink ref="K165" r:id="rId137"/>
    <hyperlink ref="K166" r:id="rId138"/>
    <hyperlink ref="K167" r:id="rId139"/>
    <hyperlink ref="K168" r:id="rId140"/>
    <hyperlink ref="K170" r:id="rId141"/>
    <hyperlink ref="K171" r:id="rId142"/>
    <hyperlink ref="K172" r:id="rId143"/>
    <hyperlink ref="K173" r:id="rId144"/>
    <hyperlink ref="K174" r:id="rId145"/>
    <hyperlink ref="K176" r:id="rId146"/>
    <hyperlink ref="K178" r:id="rId147"/>
    <hyperlink ref="K180" r:id="rId148"/>
    <hyperlink ref="K181" r:id="rId149"/>
    <hyperlink ref="K182" r:id="rId150"/>
    <hyperlink ref="K186" r:id="rId151"/>
    <hyperlink ref="K187" r:id="rId152"/>
    <hyperlink ref="K188" r:id="rId153"/>
    <hyperlink ref="K189" r:id="rId154"/>
    <hyperlink ref="K190" r:id="rId155"/>
    <hyperlink ref="K191" r:id="rId156"/>
    <hyperlink ref="K193" r:id="rId157"/>
    <hyperlink ref="K195" r:id="rId158"/>
    <hyperlink ref="K197" r:id="rId159"/>
    <hyperlink ref="K198" r:id="rId160"/>
    <hyperlink ref="K199" r:id="rId161"/>
    <hyperlink ref="K200" r:id="rId162"/>
    <hyperlink ref="K203" r:id="rId163"/>
    <hyperlink ref="K204" r:id="rId164"/>
    <hyperlink ref="K205" r:id="rId165"/>
    <hyperlink ref="K207" r:id="rId166"/>
    <hyperlink ref="K209" r:id="rId167"/>
    <hyperlink ref="K210" r:id="rId168"/>
    <hyperlink ref="K211" r:id="rId169"/>
    <hyperlink ref="K212" r:id="rId170"/>
    <hyperlink ref="K213" r:id="rId171"/>
    <hyperlink ref="K214" r:id="rId172"/>
    <hyperlink ref="K218" r:id="rId173"/>
    <hyperlink ref="K219" r:id="rId174"/>
    <hyperlink ref="K220" r:id="rId175"/>
    <hyperlink ref="K222" r:id="rId176"/>
    <hyperlink ref="K223" r:id="rId177"/>
    <hyperlink ref="K224" r:id="rId178"/>
    <hyperlink ref="K227" r:id="rId179"/>
    <hyperlink ref="K228" r:id="rId180"/>
    <hyperlink ref="K229" r:id="rId181"/>
    <hyperlink ref="K230" r:id="rId182"/>
    <hyperlink ref="K231" r:id="rId183"/>
    <hyperlink ref="K239" r:id="rId184"/>
    <hyperlink ref="K240" r:id="rId185"/>
    <hyperlink ref="K245" r:id="rId186"/>
    <hyperlink ref="K251" r:id="rId1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Key Ach. </vt:lpstr>
      <vt:lpstr>New Projects_July</vt:lpstr>
      <vt:lpstr>AI Projects</vt:lpstr>
      <vt:lpstr>Sharooq &amp; AllenHouse</vt:lpstr>
      <vt:lpstr>Client Projects</vt:lpstr>
      <vt:lpstr>ProjectDash</vt:lpstr>
      <vt:lpstr>29th_June_Report_CP</vt:lpstr>
      <vt:lpstr>Sheet1</vt:lpstr>
      <vt:lpstr>Sheet2</vt:lpstr>
      <vt:lpstr>All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Fastranking</dc:creator>
  <cp:lastModifiedBy>Sandeep Fastranking</cp:lastModifiedBy>
  <dcterms:created xsi:type="dcterms:W3CDTF">2026-06-13T16:34:15Z</dcterms:created>
  <dcterms:modified xsi:type="dcterms:W3CDTF">2026-10-21T16:57:00Z</dcterms:modified>
</cp:coreProperties>
</file>